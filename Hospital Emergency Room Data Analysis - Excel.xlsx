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7a4249ff38870e59/Documents/"/>
    </mc:Choice>
  </mc:AlternateContent>
  <xr:revisionPtr revIDLastSave="120" documentId="8_{59B1354F-7E87-405C-A5B2-020A2CCCFB24}" xr6:coauthVersionLast="47" xr6:coauthVersionMax="47" xr10:uidLastSave="{3902C4BD-28BA-484D-B78E-51BE47A90C2F}"/>
  <bookViews>
    <workbookView xWindow="-108" yWindow="-108" windowWidth="23256" windowHeight="12456" firstSheet="1" activeTab="1" xr2:uid="{5CF7FDDB-C4AC-47A2-BC3F-7E090A8FD43C}"/>
  </bookViews>
  <sheets>
    <sheet name="Pivot Report" sheetId="1" r:id="rId1"/>
    <sheet name="Dashboard" sheetId="2" r:id="rId2"/>
    <sheet name="Daily ER No. of patient" sheetId="3" r:id="rId3"/>
    <sheet name="Average wait time daily trend" sheetId="4" r:id="rId4"/>
    <sheet name="Satisfaction score daily trends"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587702c-361f-41c5-8a39-cad0a47f926f" name="Hospital Emergency Room Data" connection="Query - Hospital Emergency Room Data"/>
          <x15:modelTable id="Calendar_Table_56278d97-e135-4835-b448-e6a877028b3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 l="1"/>
  <c r="B25" i="1"/>
  <c r="C25" i="1"/>
  <c r="C24" i="1"/>
  <c r="A25" i="1"/>
  <c r="A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BC04E2-BFA1-47F0-9A70-C051FC6D137C}" name="Query - Calendar_Table" description="Connection to the 'Calendar_Table' query in the workbook." type="100" refreshedVersion="8" minRefreshableVersion="5">
    <extLst>
      <ext xmlns:x15="http://schemas.microsoft.com/office/spreadsheetml/2010/11/main" uri="{DE250136-89BD-433C-8126-D09CA5730AF9}">
        <x15:connection id="93c6ba37-24b2-461d-a2e1-2570e7ced457"/>
      </ext>
    </extLst>
  </connection>
  <connection id="2" xr16:uid="{9C465A5C-26CD-4D45-9CF2-F2B4604548F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8df58af-4e33-4b36-a14c-6a2242d19356"/>
      </ext>
    </extLst>
  </connection>
  <connection id="3" xr16:uid="{42EE7DC1-4B9C-425D-934F-931C8F8A2D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<sst xmlns="http://schemas.openxmlformats.org/spreadsheetml/2006/main" count="157" uniqueCount="78">
  <si>
    <t>Distinct Count of Patient Id</t>
  </si>
  <si>
    <t>No. of patients</t>
  </si>
  <si>
    <t>Average of Patient Waittime</t>
  </si>
  <si>
    <t>Average of Patient Satisfaction Score</t>
  </si>
  <si>
    <t>Row Labels</t>
  </si>
  <si>
    <t>Grand Total</t>
  </si>
  <si>
    <t>2023</t>
  </si>
  <si>
    <t>Daily trends of no. of patients</t>
  </si>
  <si>
    <t>average wait time</t>
  </si>
  <si>
    <t>Satisfaction score daily trend</t>
  </si>
  <si>
    <t>Admitted</t>
  </si>
  <si>
    <t>Not Admitted</t>
  </si>
  <si>
    <t>Count of Patient Admission Flag</t>
  </si>
  <si>
    <t>Count of Patient Admission Flag2</t>
  </si>
  <si>
    <t>Admission Status</t>
  </si>
  <si>
    <t>%Status</t>
  </si>
  <si>
    <t>Patients</t>
  </si>
  <si>
    <t>0-01</t>
  </si>
  <si>
    <t>10-19</t>
  </si>
  <si>
    <t>20-29</t>
  </si>
  <si>
    <t>30-39</t>
  </si>
  <si>
    <t>40-49</t>
  </si>
  <si>
    <t>50-59</t>
  </si>
  <si>
    <t>60-69</t>
  </si>
  <si>
    <t>70-79</t>
  </si>
  <si>
    <t>Count of Age group</t>
  </si>
  <si>
    <t>age group wise analysis</t>
  </si>
  <si>
    <t>Count of Patient attend Status</t>
  </si>
  <si>
    <t>Delay</t>
  </si>
  <si>
    <t>Ontime</t>
  </si>
  <si>
    <t>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</si>
  <si>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</si>
  <si>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</si>
  <si>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</si>
  <si>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</si>
  <si>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</si>
  <si>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</si>
  <si>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</si>
  <si>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</si>
  <si>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</si>
  <si>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</si>
  <si>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</si>
  <si>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</si>
  <si>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</si>
  <si>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Avg. Wait Time</t>
  </si>
  <si>
    <t>Patient Satisfactory Score</t>
  </si>
  <si>
    <t>No. of Patient by Departmental referral</t>
  </si>
  <si>
    <t>Year wise slicer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</si>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</sst>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2" tint="-9.9978637043366805E-2"/>
        <bgColor indexed="64"/>
      </patternFill>
    </fill>
    <fill>
      <patternFill patternType="solid">
        <fgColor theme="3" tint="0.499984740745262"/>
        <bgColor indexed="64"/>
      </patternFill>
    </fill>
    <fill>
      <patternFill patternType="solid">
        <fgColor theme="1"/>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1" xfId="0" applyFont="1" applyFill="1" applyBorder="1"/>
    <xf numFmtId="0" fontId="0" fillId="0" borderId="0" xfId="0" pivotButton="1"/>
    <xf numFmtId="2" fontId="0" fillId="0" borderId="0" xfId="0" applyNumberFormat="1"/>
    <xf numFmtId="0" fontId="0" fillId="0" borderId="0" xfId="0" applyAlignment="1">
      <alignment horizontal="left"/>
    </xf>
    <xf numFmtId="0" fontId="0" fillId="3" borderId="0" xfId="0" applyFill="1"/>
    <xf numFmtId="0" fontId="0" fillId="4" borderId="0" xfId="0" applyFill="1"/>
    <xf numFmtId="1" fontId="0" fillId="0" borderId="0" xfId="0" applyNumberFormat="1"/>
    <xf numFmtId="10" fontId="0" fillId="0" borderId="0" xfId="0" applyNumberFormat="1"/>
    <xf numFmtId="0" fontId="3" fillId="5" borderId="0" xfId="0" applyFont="1" applyFill="1"/>
    <xf numFmtId="0" fontId="3" fillId="5" borderId="0" xfId="0" applyFont="1" applyFill="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xf numFmtId="0" fontId="0" fillId="6" borderId="0" xfId="0" applyFill="1"/>
    <xf numFmtId="1" fontId="0" fillId="0" borderId="0" xfId="0" applyNumberFormat="1" applyAlignment="1">
      <alignment horizontal="center" vertical="center"/>
    </xf>
  </cellXfs>
  <cellStyles count="2">
    <cellStyle name="Normal" xfId="0" builtinId="0"/>
    <cellStyle name="Percent" xfId="1" builtinId="5"/>
  </cellStyles>
  <dxfs count="15">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font>
        <b/>
        <color theme="1"/>
      </font>
      <border>
        <bottom style="thin">
          <color theme="5"/>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680D0D2D-D077-4E4B-8343-BA182EFBCD82}">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22/10/relationships/richValueRel" Target="richData/richValueRel.xml"/><Relationship Id="rId39" Type="http://schemas.openxmlformats.org/officeDocument/2006/relationships/customXml" Target="../customXml/item7.xml"/><Relationship Id="rId21" Type="http://schemas.openxmlformats.org/officeDocument/2006/relationships/theme" Target="theme/them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Types" Target="richData/rdRichValueTypes.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microsoft.com/office/2017/10/relationships/person" Target="persons/person.xml"/><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eetMetadata" Target="metadata.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2.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Report!PivotTable9</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spPr>
          <a:solidFill>
            <a:schemeClr val="accent1"/>
          </a:solidFill>
          <a:ln>
            <a:noFill/>
          </a:ln>
          <a:effectLst/>
        </c:spPr>
        <c:dLbl>
          <c:idx val="0"/>
          <c:tx>
            <c:rich>
              <a:bodyPr wrap="square" lIns="38100" tIns="19050" rIns="38100" bIns="19050" anchor="ctr">
                <a:spAutoFit/>
              </a:bodyPr>
              <a:lstStyle/>
              <a:p>
                <a:pPr>
                  <a:defRPr/>
                </a:pPr>
                <a:fld id="{5F080301-F3A9-49A4-969D-B2B977DC175B}"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
          <c:y val="0.27453848732594521"/>
          <c:w val="0.3995487197605922"/>
          <c:h val="0.49166634827586836"/>
        </c:manualLayout>
      </c:layout>
      <c:barChart>
        <c:barDir val="bar"/>
        <c:grouping val="clustered"/>
        <c:varyColors val="0"/>
        <c:ser>
          <c:idx val="0"/>
          <c:order val="0"/>
          <c:tx>
            <c:strRef>
              <c:f>'Pivot Report'!$B$16</c:f>
              <c:strCache>
                <c:ptCount val="1"/>
                <c:pt idx="0">
                  <c:v>Count of Patient Admission Flag</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80F7-4318-AD0D-33CFCC2F7321}"/>
              </c:ext>
            </c:extLst>
          </c:dPt>
          <c:dLbls>
            <c:dLbl>
              <c:idx val="1"/>
              <c:tx>
                <c:rich>
                  <a:bodyPr/>
                  <a:lstStyle/>
                  <a:p>
                    <a:fld id="{5F080301-F3A9-49A4-969D-B2B977DC175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0F7-4318-AD0D-33CFCC2F732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'Pivot Report'!$A$17:$A$19</c:f>
              <c:strCache>
                <c:ptCount val="2"/>
                <c:pt idx="0">
                  <c:v>Admitted</c:v>
                </c:pt>
                <c:pt idx="1">
                  <c:v>Not Admitted</c:v>
                </c:pt>
              </c:strCache>
            </c:strRef>
          </c:cat>
          <c:val>
            <c:numRef>
              <c:f>'Pivot Report'!$B$17:$B$19</c:f>
              <c:numCache>
                <c:formatCode>0</c:formatCode>
                <c:ptCount val="2"/>
                <c:pt idx="0">
                  <c:v>237</c:v>
                </c:pt>
                <c:pt idx="1">
                  <c:v>242</c:v>
                </c:pt>
              </c:numCache>
            </c:numRef>
          </c:val>
          <c:extLst>
            <c:ext xmlns:c16="http://schemas.microsoft.com/office/drawing/2014/chart" uri="{C3380CC4-5D6E-409C-BE32-E72D297353CC}">
              <c16:uniqueId val="{00000007-BB9C-49B3-AC39-79347D9050F2}"/>
            </c:ext>
          </c:extLst>
        </c:ser>
        <c:ser>
          <c:idx val="1"/>
          <c:order val="1"/>
          <c:tx>
            <c:strRef>
              <c:f>'Pivot Report'!$C$16</c:f>
              <c:strCache>
                <c:ptCount val="1"/>
                <c:pt idx="0">
                  <c:v>Count of Patient Admission Flag2</c:v>
                </c:pt>
              </c:strCache>
            </c:strRef>
          </c:tx>
          <c:spPr>
            <a:solidFill>
              <a:schemeClr val="accent2"/>
            </a:solidFill>
            <a:ln>
              <a:noFill/>
            </a:ln>
            <a:effectLst/>
          </c:spPr>
          <c:invertIfNegative val="0"/>
          <c:cat>
            <c:strRef>
              <c:f>'Pivot Report'!$A$17:$A$19</c:f>
              <c:strCache>
                <c:ptCount val="2"/>
                <c:pt idx="0">
                  <c:v>Admitted</c:v>
                </c:pt>
                <c:pt idx="1">
                  <c:v>Not Admitted</c:v>
                </c:pt>
              </c:strCache>
            </c:strRef>
          </c:cat>
          <c:val>
            <c:numRef>
              <c:f>'Pivot Report'!$C$17:$C$19</c:f>
              <c:numCache>
                <c:formatCode>0.00%</c:formatCode>
                <c:ptCount val="2"/>
                <c:pt idx="0">
                  <c:v>0.49478079331941544</c:v>
                </c:pt>
                <c:pt idx="1">
                  <c:v>0.50521920668058451</c:v>
                </c:pt>
              </c:numCache>
            </c:numRef>
          </c:val>
          <c:extLst>
            <c:ext xmlns:c16="http://schemas.microsoft.com/office/drawing/2014/chart" uri="{C3380CC4-5D6E-409C-BE32-E72D297353CC}">
              <c16:uniqueId val="{00000008-BB9C-49B3-AC39-79347D9050F2}"/>
            </c:ext>
          </c:extLst>
        </c:ser>
        <c:dLbls>
          <c:showLegendKey val="0"/>
          <c:showVal val="0"/>
          <c:showCatName val="0"/>
          <c:showSerName val="0"/>
          <c:showPercent val="0"/>
          <c:showBubbleSize val="0"/>
        </c:dLbls>
        <c:gapWidth val="182"/>
        <c:axId val="119042432"/>
        <c:axId val="651350063"/>
      </c:barChart>
      <c:catAx>
        <c:axId val="119042432"/>
        <c:scaling>
          <c:orientation val="minMax"/>
        </c:scaling>
        <c:delete val="1"/>
        <c:axPos val="l"/>
        <c:numFmt formatCode="General" sourceLinked="1"/>
        <c:majorTickMark val="none"/>
        <c:minorTickMark val="none"/>
        <c:tickLblPos val="nextTo"/>
        <c:crossAx val="651350063"/>
        <c:crosses val="autoZero"/>
        <c:auto val="1"/>
        <c:lblAlgn val="ctr"/>
        <c:lblOffset val="100"/>
        <c:noMultiLvlLbl val="0"/>
      </c:catAx>
      <c:valAx>
        <c:axId val="651350063"/>
        <c:scaling>
          <c:orientation val="minMax"/>
        </c:scaling>
        <c:delete val="1"/>
        <c:axPos val="b"/>
        <c:numFmt formatCode="0" sourceLinked="1"/>
        <c:majorTickMark val="none"/>
        <c:minorTickMark val="none"/>
        <c:tickLblPos val="nextTo"/>
        <c:crossAx val="11904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Report!PivotTable4</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537095930900125"/>
          <c:y val="0"/>
          <c:w val="0.78893888979620752"/>
          <c:h val="0.85158448020892974"/>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4-5B63-455C-8251-97449B894566}"/>
            </c:ext>
          </c:extLst>
        </c:ser>
        <c:dLbls>
          <c:showLegendKey val="0"/>
          <c:showVal val="0"/>
          <c:showCatName val="0"/>
          <c:showSerName val="0"/>
          <c:showPercent val="0"/>
          <c:showBubbleSize val="0"/>
        </c:dLbls>
        <c:axId val="1385703231"/>
        <c:axId val="651380303"/>
      </c:areaChart>
      <c:catAx>
        <c:axId val="1385703231"/>
        <c:scaling>
          <c:orientation val="minMax"/>
        </c:scaling>
        <c:delete val="1"/>
        <c:axPos val="b"/>
        <c:numFmt formatCode="General" sourceLinked="1"/>
        <c:majorTickMark val="out"/>
        <c:minorTickMark val="none"/>
        <c:tickLblPos val="nextTo"/>
        <c:crossAx val="651380303"/>
        <c:crosses val="autoZero"/>
        <c:auto val="1"/>
        <c:lblAlgn val="ctr"/>
        <c:lblOffset val="100"/>
        <c:noMultiLvlLbl val="0"/>
      </c:catAx>
      <c:valAx>
        <c:axId val="651380303"/>
        <c:scaling>
          <c:orientation val="minMax"/>
        </c:scaling>
        <c:delete val="1"/>
        <c:axPos val="l"/>
        <c:numFmt formatCode="General" sourceLinked="1"/>
        <c:majorTickMark val="none"/>
        <c:minorTickMark val="none"/>
        <c:tickLblPos val="nextTo"/>
        <c:crossAx val="1385703231"/>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Report!PivotTable6</c:name>
    <c:fmtId val="1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6-784B-452E-8E19-EAE3A6F74F52}"/>
            </c:ext>
          </c:extLst>
        </c:ser>
        <c:dLbls>
          <c:showLegendKey val="0"/>
          <c:showVal val="0"/>
          <c:showCatName val="0"/>
          <c:showSerName val="0"/>
          <c:showPercent val="0"/>
          <c:showBubbleSize val="0"/>
        </c:dLbls>
        <c:axId val="55996800"/>
        <c:axId val="651391823"/>
      </c:areaChart>
      <c:catAx>
        <c:axId val="55996800"/>
        <c:scaling>
          <c:orientation val="minMax"/>
        </c:scaling>
        <c:delete val="1"/>
        <c:axPos val="b"/>
        <c:numFmt formatCode="General" sourceLinked="1"/>
        <c:majorTickMark val="out"/>
        <c:minorTickMark val="none"/>
        <c:tickLblPos val="nextTo"/>
        <c:crossAx val="651391823"/>
        <c:crosses val="autoZero"/>
        <c:auto val="1"/>
        <c:lblAlgn val="ctr"/>
        <c:lblOffset val="100"/>
        <c:noMultiLvlLbl val="0"/>
      </c:catAx>
      <c:valAx>
        <c:axId val="651391823"/>
        <c:scaling>
          <c:orientation val="minMax"/>
        </c:scaling>
        <c:delete val="1"/>
        <c:axPos val="l"/>
        <c:numFmt formatCode="0.00" sourceLinked="1"/>
        <c:majorTickMark val="none"/>
        <c:minorTickMark val="none"/>
        <c:tickLblPos val="nextTo"/>
        <c:crossAx val="55996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Report'!$L$6:$L$36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4-9321-480B-8514-20E59EC1D39C}"/>
            </c:ext>
          </c:extLst>
        </c:ser>
        <c:dLbls>
          <c:showLegendKey val="0"/>
          <c:showVal val="0"/>
          <c:showCatName val="0"/>
          <c:showSerName val="0"/>
          <c:showPercent val="0"/>
          <c:showBubbleSize val="0"/>
        </c:dLbls>
        <c:axId val="119093472"/>
        <c:axId val="651405263"/>
      </c:areaChart>
      <c:catAx>
        <c:axId val="119093472"/>
        <c:scaling>
          <c:orientation val="minMax"/>
        </c:scaling>
        <c:delete val="1"/>
        <c:axPos val="b"/>
        <c:numFmt formatCode="General" sourceLinked="1"/>
        <c:majorTickMark val="out"/>
        <c:minorTickMark val="none"/>
        <c:tickLblPos val="nextTo"/>
        <c:crossAx val="651405263"/>
        <c:crosses val="autoZero"/>
        <c:auto val="1"/>
        <c:lblAlgn val="ctr"/>
        <c:lblOffset val="100"/>
        <c:noMultiLvlLbl val="0"/>
      </c:catAx>
      <c:valAx>
        <c:axId val="651405263"/>
        <c:scaling>
          <c:orientation val="minMax"/>
        </c:scaling>
        <c:delete val="1"/>
        <c:axPos val="l"/>
        <c:numFmt formatCode="0.00" sourceLinked="1"/>
        <c:majorTickMark val="none"/>
        <c:minorTickMark val="none"/>
        <c:tickLblPos val="nextTo"/>
        <c:crossAx val="119093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Report'!$A$30:$A$38</c:f>
              <c:strCache>
                <c:ptCount val="8"/>
                <c:pt idx="0">
                  <c:v>0-01</c:v>
                </c:pt>
                <c:pt idx="1">
                  <c:v>10-19</c:v>
                </c:pt>
                <c:pt idx="2">
                  <c:v>20-29</c:v>
                </c:pt>
                <c:pt idx="3">
                  <c:v>30-39</c:v>
                </c:pt>
                <c:pt idx="4">
                  <c:v>40-49</c:v>
                </c:pt>
                <c:pt idx="5">
                  <c:v>50-59</c:v>
                </c:pt>
                <c:pt idx="6">
                  <c:v>60-69</c:v>
                </c:pt>
                <c:pt idx="7">
                  <c:v>70-79</c:v>
                </c:pt>
              </c:strCache>
            </c:strRef>
          </c:cat>
          <c:val>
            <c:numRef>
              <c:f>'Pivot Report'!$B$30:$B$38</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2-86A2-43E6-9BA9-05AC9DC503C8}"/>
            </c:ext>
          </c:extLst>
        </c:ser>
        <c:dLbls>
          <c:showLegendKey val="0"/>
          <c:showVal val="0"/>
          <c:showCatName val="0"/>
          <c:showSerName val="0"/>
          <c:showPercent val="0"/>
          <c:showBubbleSize val="0"/>
        </c:dLbls>
        <c:gapWidth val="219"/>
        <c:overlap val="-27"/>
        <c:axId val="1385727823"/>
        <c:axId val="651371663"/>
      </c:barChart>
      <c:catAx>
        <c:axId val="13857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71663"/>
        <c:crosses val="autoZero"/>
        <c:auto val="1"/>
        <c:lblAlgn val="ctr"/>
        <c:lblOffset val="100"/>
        <c:noMultiLvlLbl val="0"/>
      </c:catAx>
      <c:valAx>
        <c:axId val="651371663"/>
        <c:scaling>
          <c:orientation val="minMax"/>
        </c:scaling>
        <c:delete val="1"/>
        <c:axPos val="l"/>
        <c:numFmt formatCode="0" sourceLinked="1"/>
        <c:majorTickMark val="none"/>
        <c:minorTickMark val="none"/>
        <c:tickLblPos val="nextTo"/>
        <c:crossAx val="13857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Report!PivotTable12</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sx="102000" sy="102000" algn="ctr" rotWithShape="0">
              <a:schemeClr val="bg1">
                <a:alpha val="0"/>
              </a:schemeClr>
            </a:outerShdw>
            <a:softEdge rad="0"/>
          </a:effectLst>
        </c:spPr>
        <c:marker>
          <c:symbol val="none"/>
        </c:marker>
        <c:dLbl>
          <c:idx val="0"/>
          <c:spPr>
            <a:noFill/>
            <a:ln>
              <a:noFill/>
            </a:ln>
            <a:effectLst>
              <a:outerShdw blurRad="50800" dist="381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sx="102000" sy="102000" algn="ctr" rotWithShape="0">
              <a:schemeClr val="bg1">
                <a:alpha val="0"/>
              </a:schemeClr>
            </a:outerShdw>
            <a:softEdge rad="0"/>
          </a:effectLst>
        </c:spPr>
      </c:pivotFmt>
      <c:pivotFmt>
        <c:idx val="9"/>
        <c:spPr>
          <a:solidFill>
            <a:schemeClr val="accent1"/>
          </a:solidFill>
          <a:ln>
            <a:noFill/>
          </a:ln>
          <a:effectLst>
            <a:outerShdw sx="102000" sy="102000" algn="ctr" rotWithShape="0">
              <a:schemeClr val="bg1">
                <a:alpha val="0"/>
              </a:schemeClr>
            </a:outerShdw>
            <a:softEdge rad="0"/>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441930EB-57A9-42DD-95F4-47443E5E9989}" type="PERCENTAGE">
                  <a:rPr lang="en-US" sz="600"/>
                  <a:pPr>
                    <a:defRPr sz="600"/>
                  </a:pPr>
                  <a:t>[PERCENTAGE]</a:t>
                </a:fld>
                <a:endParaRPr lang="en-IN"/>
              </a:p>
            </c:rich>
          </c:tx>
          <c:spPr>
            <a:noFill/>
            <a:ln>
              <a:noFill/>
            </a:ln>
            <a:effectLst>
              <a:outerShdw blurRad="50800" dist="381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20347261890819801"/>
                  <c:h val="0.20074832213352486"/>
                </c:manualLayout>
              </c15:layout>
              <c15:dlblFieldTable/>
              <c15:showDataLabelsRange val="0"/>
            </c:ext>
          </c:extLst>
        </c:dLbl>
      </c:pivotFmt>
    </c:pivotFmts>
    <c:plotArea>
      <c:layout>
        <c:manualLayout>
          <c:layoutTarget val="inner"/>
          <c:xMode val="edge"/>
          <c:yMode val="edge"/>
          <c:x val="0.15061030708737638"/>
          <c:y val="0.18672881243722855"/>
          <c:w val="0.68542608488452417"/>
          <c:h val="0.76764721429462202"/>
        </c:manualLayout>
      </c:layout>
      <c:pieChart>
        <c:varyColors val="1"/>
        <c:ser>
          <c:idx val="0"/>
          <c:order val="0"/>
          <c:tx>
            <c:strRef>
              <c:f>'Pivot Report'!$B$43</c:f>
              <c:strCache>
                <c:ptCount val="1"/>
                <c:pt idx="0">
                  <c:v>Total</c:v>
                </c:pt>
              </c:strCache>
            </c:strRef>
          </c:tx>
          <c:spPr>
            <a:effectLst>
              <a:outerShdw sx="102000" sy="102000" algn="ctr" rotWithShape="0">
                <a:schemeClr val="bg1">
                  <a:alpha val="0"/>
                </a:schemeClr>
              </a:outerShdw>
              <a:softEdge rad="0"/>
            </a:effectLst>
          </c:spPr>
          <c:dPt>
            <c:idx val="0"/>
            <c:bubble3D val="0"/>
            <c:spPr>
              <a:solidFill>
                <a:schemeClr val="accent1"/>
              </a:solidFill>
              <a:ln>
                <a:noFill/>
              </a:ln>
              <a:effectLst>
                <a:outerShdw sx="102000" sy="102000" algn="ctr" rotWithShape="0">
                  <a:schemeClr val="bg1">
                    <a:alpha val="0"/>
                  </a:schemeClr>
                </a:outerShdw>
                <a:softEdge rad="0"/>
              </a:effectLst>
            </c:spPr>
            <c:extLst>
              <c:ext xmlns:c16="http://schemas.microsoft.com/office/drawing/2014/chart" uri="{C3380CC4-5D6E-409C-BE32-E72D297353CC}">
                <c16:uniqueId val="{00000001-1609-4106-B141-E252798A5395}"/>
              </c:ext>
            </c:extLst>
          </c:dPt>
          <c:dPt>
            <c:idx val="1"/>
            <c:bubble3D val="0"/>
            <c:spPr>
              <a:solidFill>
                <a:schemeClr val="accent2"/>
              </a:solidFill>
              <a:ln>
                <a:noFill/>
              </a:ln>
              <a:effectLst>
                <a:outerShdw sx="102000" sy="102000" algn="ctr" rotWithShape="0">
                  <a:schemeClr val="bg1">
                    <a:alpha val="0"/>
                  </a:schemeClr>
                </a:outerShdw>
                <a:softEdge rad="0"/>
              </a:effectLst>
            </c:spPr>
            <c:extLst>
              <c:ext xmlns:c16="http://schemas.microsoft.com/office/drawing/2014/chart" uri="{C3380CC4-5D6E-409C-BE32-E72D297353CC}">
                <c16:uniqueId val="{00000003-1609-4106-B141-E252798A5395}"/>
              </c:ext>
            </c:extLst>
          </c:dPt>
          <c:dLbls>
            <c:dLbl>
              <c:idx val="1"/>
              <c:tx>
                <c:rich>
                  <a:bodyPr/>
                  <a:lstStyle/>
                  <a:p>
                    <a:fld id="{441930EB-57A9-42DD-95F4-47443E5E9989}" type="PERCENTAGE">
                      <a:rPr lang="en-US" sz="600"/>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layout>
                    <c:manualLayout>
                      <c:w val="0.20347261890819801"/>
                      <c:h val="0.20074832213352486"/>
                    </c:manualLayout>
                  </c15:layout>
                  <c15:dlblFieldTable/>
                  <c15:showDataLabelsRange val="0"/>
                </c:ext>
                <c:ext xmlns:c16="http://schemas.microsoft.com/office/drawing/2014/chart" uri="{C3380CC4-5D6E-409C-BE32-E72D297353CC}">
                  <c16:uniqueId val="{00000003-1609-4106-B141-E252798A5395}"/>
                </c:ext>
              </c:extLst>
            </c:dLbl>
            <c:spPr>
              <a:noFill/>
              <a:ln>
                <a:noFill/>
              </a:ln>
              <a:effectLst>
                <a:outerShdw blurRad="50800" dist="381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Report'!$A$44:$A$46</c:f>
              <c:strCache>
                <c:ptCount val="2"/>
                <c:pt idx="0">
                  <c:v>Delay</c:v>
                </c:pt>
                <c:pt idx="1">
                  <c:v>Ontime</c:v>
                </c:pt>
              </c:strCache>
            </c:strRef>
          </c:cat>
          <c:val>
            <c:numRef>
              <c:f>'Pivot Report'!$B$44:$B$46</c:f>
              <c:numCache>
                <c:formatCode>0</c:formatCode>
                <c:ptCount val="2"/>
                <c:pt idx="0">
                  <c:v>273</c:v>
                </c:pt>
                <c:pt idx="1">
                  <c:v>206</c:v>
                </c:pt>
              </c:numCache>
            </c:numRef>
          </c:val>
          <c:extLst>
            <c:ext xmlns:c16="http://schemas.microsoft.com/office/drawing/2014/chart" uri="{C3380CC4-5D6E-409C-BE32-E72D297353CC}">
              <c16:uniqueId val="{00000011-0F90-4B0E-AB2D-61EA44138F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299825494909866"/>
          <c:y val="4.7753362013680016E-2"/>
          <c:w val="0.73184493551932672"/>
          <c:h val="0.15442592687332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Report!PivotTable13</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669897242532089"/>
          <c:y val="0.20752217825459632"/>
          <c:w val="0.31453862675344768"/>
          <c:h val="0.46870816131198134"/>
        </c:manualLayout>
      </c:layout>
      <c:doughnutChart>
        <c:varyColors val="1"/>
        <c:ser>
          <c:idx val="0"/>
          <c:order val="0"/>
          <c:tx>
            <c:strRef>
              <c:f>'Pivot Report'!$B$50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8C-422B-8AD5-C2BE90EBA5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8C-422B-8AD5-C2BE90EBA5DE}"/>
              </c:ext>
            </c:extLst>
          </c:dPt>
          <c:dLbls>
            <c:spPr>
              <a:noFill/>
              <a:ln>
                <a:noFill/>
              </a:ln>
              <a:effectLst>
                <a:outerShdw blurRad="50800" dist="381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Report'!$A$51:$A$53</c:f>
              <c:strCache>
                <c:ptCount val="2"/>
                <c:pt idx="0">
                  <c:v>Female</c:v>
                </c:pt>
                <c:pt idx="1">
                  <c:v>Male</c:v>
                </c:pt>
              </c:strCache>
            </c:strRef>
          </c:cat>
          <c:val>
            <c:numRef>
              <c:f>'Pivot Report'!$B$51:$B$53</c:f>
              <c:numCache>
                <c:formatCode>0</c:formatCode>
                <c:ptCount val="2"/>
                <c:pt idx="0">
                  <c:v>235</c:v>
                </c:pt>
                <c:pt idx="1">
                  <c:v>244</c:v>
                </c:pt>
              </c:numCache>
            </c:numRef>
          </c:val>
          <c:extLst>
            <c:ext xmlns:c16="http://schemas.microsoft.com/office/drawing/2014/chart" uri="{C3380CC4-5D6E-409C-BE32-E72D297353CC}">
              <c16:uniqueId val="{00000008-1275-42F5-A293-1EC4D241EFE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642859416264576"/>
          <c:y val="1.7028328166740587E-4"/>
          <c:w val="0.20734905519652458"/>
          <c:h val="0.24676878365790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Report!PivotTable14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Report'!$B$58:$B$66</c:f>
              <c:numCache>
                <c:formatCode>0</c:formatCode>
                <c:ptCount val="8"/>
                <c:pt idx="0">
                  <c:v>18</c:v>
                </c:pt>
                <c:pt idx="1">
                  <c:v>12</c:v>
                </c:pt>
                <c:pt idx="2">
                  <c:v>115</c:v>
                </c:pt>
                <c:pt idx="3">
                  <c:v>11</c:v>
                </c:pt>
                <c:pt idx="4">
                  <c:v>263</c:v>
                </c:pt>
                <c:pt idx="5">
                  <c:v>45</c:v>
                </c:pt>
                <c:pt idx="6">
                  <c:v>11</c:v>
                </c:pt>
                <c:pt idx="7">
                  <c:v>4</c:v>
                </c:pt>
              </c:numCache>
            </c:numRef>
          </c:val>
          <c:extLst>
            <c:ext xmlns:c16="http://schemas.microsoft.com/office/drawing/2014/chart" uri="{C3380CC4-5D6E-409C-BE32-E72D297353CC}">
              <c16:uniqueId val="{00000003-A379-47F5-9B37-389A27F8BB38}"/>
            </c:ext>
          </c:extLst>
        </c:ser>
        <c:dLbls>
          <c:showLegendKey val="0"/>
          <c:showVal val="0"/>
          <c:showCatName val="0"/>
          <c:showSerName val="0"/>
          <c:showPercent val="0"/>
          <c:showBubbleSize val="0"/>
        </c:dLbls>
        <c:gapWidth val="182"/>
        <c:axId val="371250640"/>
        <c:axId val="651405263"/>
      </c:barChart>
      <c:catAx>
        <c:axId val="37125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51405263"/>
        <c:crosses val="autoZero"/>
        <c:auto val="1"/>
        <c:lblAlgn val="ctr"/>
        <c:lblOffset val="100"/>
        <c:noMultiLvlLbl val="0"/>
      </c:catAx>
      <c:valAx>
        <c:axId val="6514052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7125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7095598899194"/>
          <c:y val="0.27459954233409611"/>
          <c:w val="0.78893888979620752"/>
          <c:h val="0.45922358377358302"/>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5-057F-48C3-8540-7A862C04EB8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5703231"/>
        <c:axId val="651380303"/>
      </c:areaChart>
      <c:catAx>
        <c:axId val="13857032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1380303"/>
        <c:crosses val="autoZero"/>
        <c:auto val="1"/>
        <c:lblAlgn val="ctr"/>
        <c:lblOffset val="100"/>
        <c:noMultiLvlLbl val="0"/>
      </c:catAx>
      <c:valAx>
        <c:axId val="651380303"/>
        <c:scaling>
          <c:orientation val="minMax"/>
        </c:scaling>
        <c:delete val="1"/>
        <c:axPos val="l"/>
        <c:numFmt formatCode="General" sourceLinked="1"/>
        <c:majorTickMark val="out"/>
        <c:minorTickMark val="none"/>
        <c:tickLblPos val="nextTo"/>
        <c:crossAx val="1385703231"/>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5-5C81-40B2-ACF8-2A54F832B3C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996800"/>
        <c:axId val="651391823"/>
      </c:areaChart>
      <c:catAx>
        <c:axId val="559968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1391823"/>
        <c:crosses val="autoZero"/>
        <c:auto val="1"/>
        <c:lblAlgn val="ctr"/>
        <c:lblOffset val="100"/>
        <c:noMultiLvlLbl val="0"/>
      </c:catAx>
      <c:valAx>
        <c:axId val="651391823"/>
        <c:scaling>
          <c:orientation val="minMax"/>
        </c:scaling>
        <c:delete val="1"/>
        <c:axPos val="l"/>
        <c:numFmt formatCode="0.00" sourceLinked="1"/>
        <c:majorTickMark val="out"/>
        <c:minorTickMark val="none"/>
        <c:tickLblPos val="nextTo"/>
        <c:crossAx val="55996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Analysis - Excel.xlsx]Pivot Report!PivotTable7</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Report'!$K$6:$K$36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Report'!$L$6:$L$36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4-3D60-4CDC-A854-92C422A0001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093472"/>
        <c:axId val="651405263"/>
      </c:areaChart>
      <c:catAx>
        <c:axId val="1190934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1405263"/>
        <c:crosses val="autoZero"/>
        <c:auto val="1"/>
        <c:lblAlgn val="ctr"/>
        <c:lblOffset val="100"/>
        <c:noMultiLvlLbl val="0"/>
      </c:catAx>
      <c:valAx>
        <c:axId val="651405263"/>
        <c:scaling>
          <c:orientation val="minMax"/>
        </c:scaling>
        <c:delete val="1"/>
        <c:axPos val="l"/>
        <c:numFmt formatCode="0.00" sourceLinked="1"/>
        <c:majorTickMark val="out"/>
        <c:minorTickMark val="none"/>
        <c:tickLblPos val="nextTo"/>
        <c:crossAx val="119093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18" Type="http://schemas.openxmlformats.org/officeDocument/2006/relationships/image" Target="../media/image9.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Satisfaction score daily trends'!A1"/><Relationship Id="rId17" Type="http://schemas.openxmlformats.org/officeDocument/2006/relationships/chart" Target="../charts/chart8.xml"/><Relationship Id="rId2" Type="http://schemas.openxmlformats.org/officeDocument/2006/relationships/hyperlink" Target="#'Daily ER No. of patient'!A1"/><Relationship Id="rId16"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hyperlink" Target="#'Average wait time daily trend'!A1"/><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0</xdr:colOff>
      <xdr:row>22</xdr:row>
      <xdr:rowOff>60772</xdr:rowOff>
    </xdr:from>
    <xdr:to>
      <xdr:col>4</xdr:col>
      <xdr:colOff>1659571</xdr:colOff>
      <xdr:row>25</xdr:row>
      <xdr:rowOff>135571</xdr:rowOff>
    </xdr:to>
    <xdr:graphicFrame macro="">
      <xdr:nvGraphicFramePr>
        <xdr:cNvPr id="6" name="Chart 5">
          <a:extLst>
            <a:ext uri="{FF2B5EF4-FFF2-40B4-BE49-F238E27FC236}">
              <a16:creationId xmlns:a16="http://schemas.microsoft.com/office/drawing/2014/main" id="{889E21A3-F5AF-71F6-D02E-91E6B29B2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61782</xdr:colOff>
      <xdr:row>0</xdr:row>
      <xdr:rowOff>72082</xdr:rowOff>
    </xdr:from>
    <xdr:to>
      <xdr:col>5</xdr:col>
      <xdr:colOff>225136</xdr:colOff>
      <xdr:row>3</xdr:row>
      <xdr:rowOff>121227</xdr:rowOff>
    </xdr:to>
    <xdr:sp macro="" textlink="">
      <xdr:nvSpPr>
        <xdr:cNvPr id="2" name="Rectangle: Rounded Corners 1">
          <a:extLst>
            <a:ext uri="{FF2B5EF4-FFF2-40B4-BE49-F238E27FC236}">
              <a16:creationId xmlns:a16="http://schemas.microsoft.com/office/drawing/2014/main" id="{6EF23663-0DC5-374A-729B-EB75E296BC7F}"/>
            </a:ext>
          </a:extLst>
        </xdr:cNvPr>
        <xdr:cNvSpPr/>
      </xdr:nvSpPr>
      <xdr:spPr>
        <a:xfrm>
          <a:off x="61782" y="72082"/>
          <a:ext cx="3222899" cy="60332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H</a:t>
          </a:r>
          <a:r>
            <a:rPr lang="en-IN" sz="1100" b="0" i="0" u="none" strike="noStrike">
              <a:solidFill>
                <a:schemeClr val="lt1"/>
              </a:solidFill>
              <a:effectLst/>
              <a:latin typeface="+mn-lt"/>
              <a:ea typeface="+mn-ea"/>
              <a:cs typeface="+mn-cs"/>
            </a:rPr>
            <a:t> </a:t>
          </a:r>
          <a:r>
            <a:rPr lang="en-IN">
              <a:effectLst/>
            </a:rPr>
            <a:t> </a:t>
          </a:r>
          <a:r>
            <a:rPr lang="en-IN" sz="1100">
              <a:solidFill>
                <a:schemeClr val="bg1"/>
              </a:solidFill>
            </a:rPr>
            <a:t>Hjjj</a:t>
          </a:r>
        </a:p>
      </xdr:txBody>
    </xdr:sp>
    <xdr:clientData/>
  </xdr:twoCellAnchor>
  <xdr:twoCellAnchor>
    <xdr:from>
      <xdr:col>5</xdr:col>
      <xdr:colOff>294410</xdr:colOff>
      <xdr:row>0</xdr:row>
      <xdr:rowOff>72082</xdr:rowOff>
    </xdr:from>
    <xdr:to>
      <xdr:col>7</xdr:col>
      <xdr:colOff>601916</xdr:colOff>
      <xdr:row>3</xdr:row>
      <xdr:rowOff>109682</xdr:rowOff>
    </xdr:to>
    <xdr:sp macro="" textlink="">
      <xdr:nvSpPr>
        <xdr:cNvPr id="3" name="Rectangle: Rounded Corners 2">
          <a:extLst>
            <a:ext uri="{FF2B5EF4-FFF2-40B4-BE49-F238E27FC236}">
              <a16:creationId xmlns:a16="http://schemas.microsoft.com/office/drawing/2014/main" id="{FE785BEC-56A3-A5C8-6B03-7AF3258DAB35}"/>
            </a:ext>
          </a:extLst>
        </xdr:cNvPr>
        <xdr:cNvSpPr/>
      </xdr:nvSpPr>
      <xdr:spPr>
        <a:xfrm>
          <a:off x="3336007" y="72082"/>
          <a:ext cx="1524144" cy="59469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88578</xdr:colOff>
      <xdr:row>0</xdr:row>
      <xdr:rowOff>47728</xdr:rowOff>
    </xdr:from>
    <xdr:to>
      <xdr:col>10</xdr:col>
      <xdr:colOff>288151</xdr:colOff>
      <xdr:row>8</xdr:row>
      <xdr:rowOff>64033</xdr:rowOff>
    </xdr:to>
    <xdr:sp macro="" textlink="">
      <xdr:nvSpPr>
        <xdr:cNvPr id="4" name="Rectangle: Rounded Corners 3">
          <a:extLst>
            <a:ext uri="{FF2B5EF4-FFF2-40B4-BE49-F238E27FC236}">
              <a16:creationId xmlns:a16="http://schemas.microsoft.com/office/drawing/2014/main" id="{9C478000-8154-4409-03B3-135B86FF32C0}"/>
            </a:ext>
          </a:extLst>
        </xdr:cNvPr>
        <xdr:cNvSpPr/>
      </xdr:nvSpPr>
      <xdr:spPr>
        <a:xfrm>
          <a:off x="4955133" y="47728"/>
          <a:ext cx="1416211" cy="1501885"/>
        </a:xfrm>
        <a:prstGeom prst="roundRect">
          <a:avLst>
            <a:gd name="adj" fmla="val 71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67555</xdr:colOff>
      <xdr:row>4</xdr:row>
      <xdr:rowOff>25614</xdr:rowOff>
    </xdr:from>
    <xdr:to>
      <xdr:col>1</xdr:col>
      <xdr:colOff>243328</xdr:colOff>
      <xdr:row>20</xdr:row>
      <xdr:rowOff>19210</xdr:rowOff>
    </xdr:to>
    <xdr:sp macro="" textlink="">
      <xdr:nvSpPr>
        <xdr:cNvPr id="6" name="Rectangle: Rounded Corners 5">
          <a:extLst>
            <a:ext uri="{FF2B5EF4-FFF2-40B4-BE49-F238E27FC236}">
              <a16:creationId xmlns:a16="http://schemas.microsoft.com/office/drawing/2014/main" id="{D3DC2232-C2C1-1358-E81B-D5BC1D8D9CAF}"/>
            </a:ext>
          </a:extLst>
        </xdr:cNvPr>
        <xdr:cNvSpPr/>
      </xdr:nvSpPr>
      <xdr:spPr>
        <a:xfrm>
          <a:off x="67555" y="768404"/>
          <a:ext cx="784092" cy="29647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329512</xdr:colOff>
      <xdr:row>4</xdr:row>
      <xdr:rowOff>57630</xdr:rowOff>
    </xdr:from>
    <xdr:to>
      <xdr:col>3</xdr:col>
      <xdr:colOff>416218</xdr:colOff>
      <xdr:row>9</xdr:row>
      <xdr:rowOff>112803</xdr:rowOff>
    </xdr:to>
    <xdr:sp macro="" textlink="">
      <xdr:nvSpPr>
        <xdr:cNvPr id="7" name="Rectangle: Rounded Corners 6">
          <a:extLst>
            <a:ext uri="{FF2B5EF4-FFF2-40B4-BE49-F238E27FC236}">
              <a16:creationId xmlns:a16="http://schemas.microsoft.com/office/drawing/2014/main" id="{1D75C975-D4D4-874C-8B28-C38558E62EE9}"/>
            </a:ext>
          </a:extLst>
        </xdr:cNvPr>
        <xdr:cNvSpPr/>
      </xdr:nvSpPr>
      <xdr:spPr>
        <a:xfrm>
          <a:off x="939636" y="790826"/>
          <a:ext cx="1306953" cy="4922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485667</xdr:colOff>
      <xdr:row>4</xdr:row>
      <xdr:rowOff>17147</xdr:rowOff>
    </xdr:from>
    <xdr:to>
      <xdr:col>5</xdr:col>
      <xdr:colOff>499462</xdr:colOff>
      <xdr:row>9</xdr:row>
      <xdr:rowOff>126240</xdr:rowOff>
    </xdr:to>
    <xdr:sp macro="" textlink="">
      <xdr:nvSpPr>
        <xdr:cNvPr id="9" name="Rectangle: Rounded Corners 8">
          <a:extLst>
            <a:ext uri="{FF2B5EF4-FFF2-40B4-BE49-F238E27FC236}">
              <a16:creationId xmlns:a16="http://schemas.microsoft.com/office/drawing/2014/main" id="{EF0B303C-B962-3AF4-2B6D-7AEF9C4453CE}"/>
            </a:ext>
          </a:extLst>
        </xdr:cNvPr>
        <xdr:cNvSpPr/>
      </xdr:nvSpPr>
      <xdr:spPr>
        <a:xfrm>
          <a:off x="2310625" y="759937"/>
          <a:ext cx="1230434" cy="10375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569899</xdr:colOff>
      <xdr:row>3</xdr:row>
      <xdr:rowOff>176310</xdr:rowOff>
    </xdr:from>
    <xdr:to>
      <xdr:col>7</xdr:col>
      <xdr:colOff>607868</xdr:colOff>
      <xdr:row>9</xdr:row>
      <xdr:rowOff>98734</xdr:rowOff>
    </xdr:to>
    <xdr:sp macro="" textlink="">
      <xdr:nvSpPr>
        <xdr:cNvPr id="10" name="Rectangle: Rounded Corners 9">
          <a:extLst>
            <a:ext uri="{FF2B5EF4-FFF2-40B4-BE49-F238E27FC236}">
              <a16:creationId xmlns:a16="http://schemas.microsoft.com/office/drawing/2014/main" id="{89ECCC91-5556-852D-21C2-F9A5E090D106}"/>
            </a:ext>
          </a:extLst>
        </xdr:cNvPr>
        <xdr:cNvSpPr/>
      </xdr:nvSpPr>
      <xdr:spPr>
        <a:xfrm>
          <a:off x="3611496" y="733402"/>
          <a:ext cx="1254607" cy="10366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366771</xdr:colOff>
      <xdr:row>10</xdr:row>
      <xdr:rowOff>19346</xdr:rowOff>
    </xdr:from>
    <xdr:to>
      <xdr:col>7</xdr:col>
      <xdr:colOff>576303</xdr:colOff>
      <xdr:row>13</xdr:row>
      <xdr:rowOff>38420</xdr:rowOff>
    </xdr:to>
    <xdr:sp macro="" textlink="">
      <xdr:nvSpPr>
        <xdr:cNvPr id="15" name="Rectangle: Rounded Corners 14">
          <a:extLst>
            <a:ext uri="{FF2B5EF4-FFF2-40B4-BE49-F238E27FC236}">
              <a16:creationId xmlns:a16="http://schemas.microsoft.com/office/drawing/2014/main" id="{F8E06AE4-6EB6-E26C-D080-8255BC30D1C6}"/>
            </a:ext>
          </a:extLst>
        </xdr:cNvPr>
        <xdr:cNvSpPr/>
      </xdr:nvSpPr>
      <xdr:spPr>
        <a:xfrm>
          <a:off x="975090" y="1876321"/>
          <a:ext cx="3859448" cy="5761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348829</xdr:colOff>
      <xdr:row>13</xdr:row>
      <xdr:rowOff>115261</xdr:rowOff>
    </xdr:from>
    <xdr:to>
      <xdr:col>7</xdr:col>
      <xdr:colOff>589110</xdr:colOff>
      <xdr:row>19</xdr:row>
      <xdr:rowOff>140874</xdr:rowOff>
    </xdr:to>
    <xdr:sp macro="" textlink="">
      <xdr:nvSpPr>
        <xdr:cNvPr id="16" name="Rectangle: Rounded Corners 15">
          <a:extLst>
            <a:ext uri="{FF2B5EF4-FFF2-40B4-BE49-F238E27FC236}">
              <a16:creationId xmlns:a16="http://schemas.microsoft.com/office/drawing/2014/main" id="{8152438A-CADE-DD05-6D87-F15BC9961BF2}"/>
            </a:ext>
          </a:extLst>
        </xdr:cNvPr>
        <xdr:cNvSpPr/>
      </xdr:nvSpPr>
      <xdr:spPr>
        <a:xfrm>
          <a:off x="961034" y="1938851"/>
          <a:ext cx="3913512" cy="11197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403412</xdr:colOff>
      <xdr:row>0</xdr:row>
      <xdr:rowOff>54132</xdr:rowOff>
    </xdr:from>
    <xdr:to>
      <xdr:col>13</xdr:col>
      <xdr:colOff>5385</xdr:colOff>
      <xdr:row>8</xdr:row>
      <xdr:rowOff>51227</xdr:rowOff>
    </xdr:to>
    <xdr:sp macro="" textlink="">
      <xdr:nvSpPr>
        <xdr:cNvPr id="18" name="Rectangle: Rounded Corners 17">
          <a:extLst>
            <a:ext uri="{FF2B5EF4-FFF2-40B4-BE49-F238E27FC236}">
              <a16:creationId xmlns:a16="http://schemas.microsoft.com/office/drawing/2014/main" id="{3E9B3DAB-8FDE-9D85-EB54-D7D64352C7D7}"/>
            </a:ext>
          </a:extLst>
        </xdr:cNvPr>
        <xdr:cNvSpPr/>
      </xdr:nvSpPr>
      <xdr:spPr>
        <a:xfrm>
          <a:off x="6486605" y="54132"/>
          <a:ext cx="1426931" cy="1482675"/>
        </a:xfrm>
        <a:prstGeom prst="roundRect">
          <a:avLst>
            <a:gd name="adj" fmla="val 71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51228</xdr:colOff>
      <xdr:row>8</xdr:row>
      <xdr:rowOff>183176</xdr:rowOff>
    </xdr:from>
    <xdr:to>
      <xdr:col>13</xdr:col>
      <xdr:colOff>128068</xdr:colOff>
      <xdr:row>19</xdr:row>
      <xdr:rowOff>165857</xdr:rowOff>
    </xdr:to>
    <xdr:sp macro="" textlink="">
      <xdr:nvSpPr>
        <xdr:cNvPr id="19" name="Rectangle: Rounded Corners 18">
          <a:extLst>
            <a:ext uri="{FF2B5EF4-FFF2-40B4-BE49-F238E27FC236}">
              <a16:creationId xmlns:a16="http://schemas.microsoft.com/office/drawing/2014/main" id="{4C348072-1848-F52A-026C-7980B54B2181}"/>
            </a:ext>
          </a:extLst>
        </xdr:cNvPr>
        <xdr:cNvSpPr/>
      </xdr:nvSpPr>
      <xdr:spPr>
        <a:xfrm>
          <a:off x="4917783" y="1668756"/>
          <a:ext cx="3118436" cy="2025353"/>
        </a:xfrm>
        <a:prstGeom prst="roundRect">
          <a:avLst>
            <a:gd name="adj" fmla="val 80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xdr:col>
      <xdr:colOff>262537</xdr:colOff>
      <xdr:row>1</xdr:row>
      <xdr:rowOff>11546</xdr:rowOff>
    </xdr:from>
    <xdr:to>
      <xdr:col>5</xdr:col>
      <xdr:colOff>23090</xdr:colOff>
      <xdr:row>1</xdr:row>
      <xdr:rowOff>160085</xdr:rowOff>
    </xdr:to>
    <xdr:sp macro="" textlink="">
      <xdr:nvSpPr>
        <xdr:cNvPr id="20" name="TextBox 19">
          <a:extLst>
            <a:ext uri="{FF2B5EF4-FFF2-40B4-BE49-F238E27FC236}">
              <a16:creationId xmlns:a16="http://schemas.microsoft.com/office/drawing/2014/main" id="{354FB2AA-D7A2-38F2-3A0F-912514B4D122}"/>
            </a:ext>
          </a:extLst>
        </xdr:cNvPr>
        <xdr:cNvSpPr txBox="1"/>
      </xdr:nvSpPr>
      <xdr:spPr>
        <a:xfrm>
          <a:off x="870856" y="197243"/>
          <a:ext cx="2193831" cy="14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100"/>
            <a:t>Hospital</a:t>
          </a:r>
          <a:r>
            <a:rPr lang="en-IN" sz="1100" baseline="0"/>
            <a:t> Emergency Room Dashboard</a:t>
          </a:r>
          <a:endParaRPr lang="en-IN" sz="1100"/>
        </a:p>
      </xdr:txBody>
    </xdr:sp>
    <xdr:clientData/>
  </xdr:twoCellAnchor>
  <xdr:twoCellAnchor editAs="oneCell">
    <xdr:from>
      <xdr:col>0</xdr:col>
      <xdr:colOff>64034</xdr:colOff>
      <xdr:row>0</xdr:row>
      <xdr:rowOff>51227</xdr:rowOff>
    </xdr:from>
    <xdr:to>
      <xdr:col>1</xdr:col>
      <xdr:colOff>313765</xdr:colOff>
      <xdr:row>3</xdr:row>
      <xdr:rowOff>140874</xdr:rowOff>
    </xdr:to>
    <xdr:pic>
      <xdr:nvPicPr>
        <xdr:cNvPr id="22" name="Picture 21">
          <a:extLst>
            <a:ext uri="{FF2B5EF4-FFF2-40B4-BE49-F238E27FC236}">
              <a16:creationId xmlns:a16="http://schemas.microsoft.com/office/drawing/2014/main" id="{1482D5E9-7031-0144-84EB-521729D3B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34" y="51227"/>
          <a:ext cx="858050" cy="646739"/>
        </a:xfrm>
        <a:prstGeom prst="rect">
          <a:avLst/>
        </a:prstGeom>
      </xdr:spPr>
    </xdr:pic>
    <xdr:clientData/>
  </xdr:twoCellAnchor>
  <xdr:twoCellAnchor>
    <xdr:from>
      <xdr:col>2</xdr:col>
      <xdr:colOff>217715</xdr:colOff>
      <xdr:row>2</xdr:row>
      <xdr:rowOff>19210</xdr:rowOff>
    </xdr:from>
    <xdr:to>
      <xdr:col>4</xdr:col>
      <xdr:colOff>147279</xdr:colOff>
      <xdr:row>3</xdr:row>
      <xdr:rowOff>51227</xdr:rowOff>
    </xdr:to>
    <xdr:sp macro="" textlink="">
      <xdr:nvSpPr>
        <xdr:cNvPr id="23" name="TextBox 22">
          <a:extLst>
            <a:ext uri="{FF2B5EF4-FFF2-40B4-BE49-F238E27FC236}">
              <a16:creationId xmlns:a16="http://schemas.microsoft.com/office/drawing/2014/main" id="{697071D1-20DC-7301-A4F2-15071D53724D}"/>
            </a:ext>
          </a:extLst>
        </xdr:cNvPr>
        <xdr:cNvSpPr txBox="1"/>
      </xdr:nvSpPr>
      <xdr:spPr>
        <a:xfrm>
          <a:off x="1434354" y="390605"/>
          <a:ext cx="1146202"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Monthly Report</a:t>
          </a:r>
        </a:p>
      </xdr:txBody>
    </xdr:sp>
    <xdr:clientData/>
  </xdr:twoCellAnchor>
  <xdr:twoCellAnchor>
    <xdr:from>
      <xdr:col>1</xdr:col>
      <xdr:colOff>518674</xdr:colOff>
      <xdr:row>5</xdr:row>
      <xdr:rowOff>96051</xdr:rowOff>
    </xdr:from>
    <xdr:to>
      <xdr:col>3</xdr:col>
      <xdr:colOff>121665</xdr:colOff>
      <xdr:row>6</xdr:row>
      <xdr:rowOff>166487</xdr:rowOff>
    </xdr:to>
    <xdr:sp macro="" textlink="'Pivot Report'!A5">
      <xdr:nvSpPr>
        <xdr:cNvPr id="24" name="TextBox 23">
          <a:extLst>
            <a:ext uri="{FF2B5EF4-FFF2-40B4-BE49-F238E27FC236}">
              <a16:creationId xmlns:a16="http://schemas.microsoft.com/office/drawing/2014/main" id="{5897296A-72F3-58E6-12B5-741285211D9E}"/>
            </a:ext>
          </a:extLst>
        </xdr:cNvPr>
        <xdr:cNvSpPr txBox="1"/>
      </xdr:nvSpPr>
      <xdr:spPr>
        <a:xfrm>
          <a:off x="1130099" y="1008626"/>
          <a:ext cx="825841" cy="25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0" i="0" u="none" strike="noStrike">
              <a:solidFill>
                <a:srgbClr val="000000"/>
              </a:solidFill>
              <a:latin typeface="Aptos Narrow"/>
            </a:rPr>
            <a:t>       </a:t>
          </a:r>
          <a:fld id="{CB685B6D-F22D-409F-A0A8-8710DCB767A5}" type="TxLink">
            <a:rPr lang="en-US" sz="1100" b="0" i="0" u="none" strike="noStrike">
              <a:solidFill>
                <a:srgbClr val="000000"/>
              </a:solidFill>
              <a:latin typeface="Aptos Narrow"/>
            </a:rPr>
            <a:pPr/>
            <a:t>480</a:t>
          </a:fld>
          <a:endParaRPr lang="en-IN" sz="1100"/>
        </a:p>
      </xdr:txBody>
    </xdr:sp>
    <xdr:clientData/>
  </xdr:twoCellAnchor>
  <xdr:twoCellAnchor>
    <xdr:from>
      <xdr:col>1</xdr:col>
      <xdr:colOff>550690</xdr:colOff>
      <xdr:row>6</xdr:row>
      <xdr:rowOff>116061</xdr:rowOff>
    </xdr:from>
    <xdr:to>
      <xdr:col>3</xdr:col>
      <xdr:colOff>397009</xdr:colOff>
      <xdr:row>8</xdr:row>
      <xdr:rowOff>160084</xdr:rowOff>
    </xdr:to>
    <xdr:sp macro="" textlink="'Pivot Report'!A5">
      <xdr:nvSpPr>
        <xdr:cNvPr id="25" name="TextBox 24">
          <a:hlinkClick xmlns:r="http://schemas.openxmlformats.org/officeDocument/2006/relationships" r:id="rId2"/>
          <a:extLst>
            <a:ext uri="{FF2B5EF4-FFF2-40B4-BE49-F238E27FC236}">
              <a16:creationId xmlns:a16="http://schemas.microsoft.com/office/drawing/2014/main" id="{2B7817A1-E40E-4FC1-9245-752D22F1FF41}"/>
            </a:ext>
          </a:extLst>
        </xdr:cNvPr>
        <xdr:cNvSpPr txBox="1"/>
      </xdr:nvSpPr>
      <xdr:spPr>
        <a:xfrm>
          <a:off x="1159009" y="1230246"/>
          <a:ext cx="1062958" cy="415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No. of Patients</a:t>
          </a:r>
        </a:p>
      </xdr:txBody>
    </xdr:sp>
    <xdr:clientData/>
  </xdr:twoCellAnchor>
  <xdr:twoCellAnchor>
    <xdr:from>
      <xdr:col>4</xdr:col>
      <xdr:colOff>172891</xdr:colOff>
      <xdr:row>5</xdr:row>
      <xdr:rowOff>76841</xdr:rowOff>
    </xdr:from>
    <xdr:to>
      <xdr:col>5</xdr:col>
      <xdr:colOff>384201</xdr:colOff>
      <xdr:row>6</xdr:row>
      <xdr:rowOff>147277</xdr:rowOff>
    </xdr:to>
    <xdr:sp macro="" textlink="'Pivot Report'!A9">
      <xdr:nvSpPr>
        <xdr:cNvPr id="26" name="TextBox 25">
          <a:extLst>
            <a:ext uri="{FF2B5EF4-FFF2-40B4-BE49-F238E27FC236}">
              <a16:creationId xmlns:a16="http://schemas.microsoft.com/office/drawing/2014/main" id="{2102BF9E-ED53-33AE-7DBF-45A0800B2C83}"/>
            </a:ext>
          </a:extLst>
        </xdr:cNvPr>
        <xdr:cNvSpPr txBox="1"/>
      </xdr:nvSpPr>
      <xdr:spPr>
        <a:xfrm>
          <a:off x="2606168" y="1005328"/>
          <a:ext cx="819630" cy="256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01929A9-FD92-4447-9394-D2B5550F3618}" type="TxLink">
            <a:rPr lang="en-US" sz="1100" b="0" i="0" u="none" strike="noStrike">
              <a:solidFill>
                <a:srgbClr val="000000"/>
              </a:solidFill>
              <a:latin typeface="Aptos Narrow"/>
            </a:rPr>
            <a:pPr/>
            <a:t>34.90</a:t>
          </a:fld>
          <a:endParaRPr lang="en-IN" sz="1100"/>
        </a:p>
      </xdr:txBody>
    </xdr:sp>
    <xdr:clientData/>
  </xdr:twoCellAnchor>
  <xdr:twoCellAnchor>
    <xdr:from>
      <xdr:col>4</xdr:col>
      <xdr:colOff>83244</xdr:colOff>
      <xdr:row>6</xdr:row>
      <xdr:rowOff>103255</xdr:rowOff>
    </xdr:from>
    <xdr:to>
      <xdr:col>5</xdr:col>
      <xdr:colOff>537882</xdr:colOff>
      <xdr:row>8</xdr:row>
      <xdr:rowOff>147278</xdr:rowOff>
    </xdr:to>
    <xdr:sp macro="" textlink="'Pivot Report'!A5">
      <xdr:nvSpPr>
        <xdr:cNvPr id="27" name="TextBox 26">
          <a:extLst>
            <a:ext uri="{FF2B5EF4-FFF2-40B4-BE49-F238E27FC236}">
              <a16:creationId xmlns:a16="http://schemas.microsoft.com/office/drawing/2014/main" id="{E5EB69BD-2820-0A93-528E-8206ECA420D3}"/>
            </a:ext>
          </a:extLst>
        </xdr:cNvPr>
        <xdr:cNvSpPr txBox="1"/>
      </xdr:nvSpPr>
      <xdr:spPr>
        <a:xfrm>
          <a:off x="2516521" y="1217440"/>
          <a:ext cx="1062958" cy="415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Avg.</a:t>
          </a:r>
          <a:r>
            <a:rPr lang="en-IN" sz="800" baseline="0"/>
            <a:t> Wait Time</a:t>
          </a:r>
          <a:endParaRPr lang="en-IN" sz="800"/>
        </a:p>
      </xdr:txBody>
    </xdr:sp>
    <xdr:clientData/>
  </xdr:twoCellAnchor>
  <xdr:twoCellAnchor>
    <xdr:from>
      <xdr:col>6</xdr:col>
      <xdr:colOff>339378</xdr:colOff>
      <xdr:row>5</xdr:row>
      <xdr:rowOff>70438</xdr:rowOff>
    </xdr:from>
    <xdr:to>
      <xdr:col>7</xdr:col>
      <xdr:colOff>550689</xdr:colOff>
      <xdr:row>6</xdr:row>
      <xdr:rowOff>140874</xdr:rowOff>
    </xdr:to>
    <xdr:sp macro="" textlink="'Pivot Report'!A13">
      <xdr:nvSpPr>
        <xdr:cNvPr id="28" name="TextBox 27">
          <a:extLst>
            <a:ext uri="{FF2B5EF4-FFF2-40B4-BE49-F238E27FC236}">
              <a16:creationId xmlns:a16="http://schemas.microsoft.com/office/drawing/2014/main" id="{ECA6B00F-CAE8-BAC5-CB4B-B2192D6392F3}"/>
            </a:ext>
          </a:extLst>
        </xdr:cNvPr>
        <xdr:cNvSpPr txBox="1"/>
      </xdr:nvSpPr>
      <xdr:spPr>
        <a:xfrm>
          <a:off x="3989294" y="998925"/>
          <a:ext cx="819630" cy="256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8BEC916-EAE8-44C0-AC3E-ED66715D775D}" type="TxLink">
            <a:rPr lang="en-US" sz="1100" b="0" i="0" u="none" strike="noStrike">
              <a:solidFill>
                <a:srgbClr val="000000"/>
              </a:solidFill>
              <a:latin typeface="Aptos Narrow"/>
            </a:rPr>
            <a:pPr/>
            <a:t>5.30</a:t>
          </a:fld>
          <a:endParaRPr lang="en-IN" sz="1100"/>
        </a:p>
      </xdr:txBody>
    </xdr:sp>
    <xdr:clientData/>
  </xdr:twoCellAnchor>
  <xdr:twoCellAnchor>
    <xdr:from>
      <xdr:col>6</xdr:col>
      <xdr:colOff>32019</xdr:colOff>
      <xdr:row>6</xdr:row>
      <xdr:rowOff>19210</xdr:rowOff>
    </xdr:from>
    <xdr:to>
      <xdr:col>8</xdr:col>
      <xdr:colOff>128066</xdr:colOff>
      <xdr:row>8</xdr:row>
      <xdr:rowOff>32017</xdr:rowOff>
    </xdr:to>
    <xdr:sp macro="" textlink="'Pivot Report'!A5">
      <xdr:nvSpPr>
        <xdr:cNvPr id="29" name="TextBox 28">
          <a:extLst>
            <a:ext uri="{FF2B5EF4-FFF2-40B4-BE49-F238E27FC236}">
              <a16:creationId xmlns:a16="http://schemas.microsoft.com/office/drawing/2014/main" id="{3650A3B3-EFF7-302C-6FF8-BB5CE6EA1DFC}"/>
            </a:ext>
          </a:extLst>
        </xdr:cNvPr>
        <xdr:cNvSpPr txBox="1"/>
      </xdr:nvSpPr>
      <xdr:spPr>
        <a:xfrm>
          <a:off x="3681935" y="1133395"/>
          <a:ext cx="1312686" cy="384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t>Patient</a:t>
          </a:r>
          <a:r>
            <a:rPr lang="en-IN" sz="800" baseline="0"/>
            <a:t> Satisfaction Score</a:t>
          </a:r>
          <a:endParaRPr lang="en-IN" sz="800"/>
        </a:p>
      </xdr:txBody>
    </xdr:sp>
    <xdr:clientData/>
  </xdr:twoCellAnchor>
  <xdr:twoCellAnchor editAs="oneCell">
    <xdr:from>
      <xdr:col>3</xdr:col>
      <xdr:colOff>83242</xdr:colOff>
      <xdr:row>4</xdr:row>
      <xdr:rowOff>108857</xdr:rowOff>
    </xdr:from>
    <xdr:to>
      <xdr:col>3</xdr:col>
      <xdr:colOff>352185</xdr:colOff>
      <xdr:row>6</xdr:row>
      <xdr:rowOff>6405</xdr:rowOff>
    </xdr:to>
    <xdr:pic>
      <xdr:nvPicPr>
        <xdr:cNvPr id="31" name="Graphic 30" descr="Male profile with solid fill">
          <a:extLst>
            <a:ext uri="{FF2B5EF4-FFF2-40B4-BE49-F238E27FC236}">
              <a16:creationId xmlns:a16="http://schemas.microsoft.com/office/drawing/2014/main" id="{E0AB4749-D792-5B9C-8494-81F64DE1A5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8200" y="851647"/>
          <a:ext cx="268943" cy="268943"/>
        </a:xfrm>
        <a:prstGeom prst="rect">
          <a:avLst/>
        </a:prstGeom>
      </xdr:spPr>
    </xdr:pic>
    <xdr:clientData/>
  </xdr:twoCellAnchor>
  <xdr:twoCellAnchor editAs="oneCell">
    <xdr:from>
      <xdr:col>5</xdr:col>
      <xdr:colOff>179294</xdr:colOff>
      <xdr:row>4</xdr:row>
      <xdr:rowOff>83245</xdr:rowOff>
    </xdr:from>
    <xdr:to>
      <xdr:col>5</xdr:col>
      <xdr:colOff>403412</xdr:colOff>
      <xdr:row>5</xdr:row>
      <xdr:rowOff>121666</xdr:rowOff>
    </xdr:to>
    <xdr:pic>
      <xdr:nvPicPr>
        <xdr:cNvPr id="33" name="Graphic 32" descr="Hourglass Finished with solid fill">
          <a:extLst>
            <a:ext uri="{FF2B5EF4-FFF2-40B4-BE49-F238E27FC236}">
              <a16:creationId xmlns:a16="http://schemas.microsoft.com/office/drawing/2014/main" id="{A3D614F7-0FE7-3F90-BBB8-ED110AB64F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20891" y="826035"/>
          <a:ext cx="224118" cy="224118"/>
        </a:xfrm>
        <a:prstGeom prst="rect">
          <a:avLst/>
        </a:prstGeom>
      </xdr:spPr>
    </xdr:pic>
    <xdr:clientData/>
  </xdr:twoCellAnchor>
  <xdr:twoCellAnchor editAs="oneCell">
    <xdr:from>
      <xdr:col>7</xdr:col>
      <xdr:colOff>230038</xdr:colOff>
      <xdr:row>4</xdr:row>
      <xdr:rowOff>73159</xdr:rowOff>
    </xdr:from>
    <xdr:to>
      <xdr:col>7</xdr:col>
      <xdr:colOff>499462</xdr:colOff>
      <xdr:row>5</xdr:row>
      <xdr:rowOff>155589</xdr:rowOff>
    </xdr:to>
    <xdr:pic>
      <xdr:nvPicPr>
        <xdr:cNvPr id="35" name="Graphic 34" descr="Customer review with solid fill">
          <a:extLst>
            <a:ext uri="{FF2B5EF4-FFF2-40B4-BE49-F238E27FC236}">
              <a16:creationId xmlns:a16="http://schemas.microsoft.com/office/drawing/2014/main" id="{07DBC3D2-39B1-E6BD-F62C-0A463EE86D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07302" y="792027"/>
          <a:ext cx="269424" cy="262147"/>
        </a:xfrm>
        <a:prstGeom prst="rect">
          <a:avLst/>
        </a:prstGeom>
      </xdr:spPr>
    </xdr:pic>
    <xdr:clientData/>
  </xdr:twoCellAnchor>
  <xdr:twoCellAnchor editAs="oneCell">
    <xdr:from>
      <xdr:col>0</xdr:col>
      <xdr:colOff>64697</xdr:colOff>
      <xdr:row>3</xdr:row>
      <xdr:rowOff>165340</xdr:rowOff>
    </xdr:from>
    <xdr:to>
      <xdr:col>1</xdr:col>
      <xdr:colOff>265980</xdr:colOff>
      <xdr:row>20</xdr:row>
      <xdr:rowOff>35942</xdr:rowOff>
    </xdr:to>
    <mc:AlternateContent xmlns:mc="http://schemas.openxmlformats.org/markup-compatibility/2006" xmlns:a14="http://schemas.microsoft.com/office/drawing/2010/main">
      <mc:Choice Requires="a14">
        <xdr:graphicFrame macro="">
          <xdr:nvGraphicFramePr>
            <xdr:cNvPr id="36" name="Date (Month)">
              <a:extLst>
                <a:ext uri="{FF2B5EF4-FFF2-40B4-BE49-F238E27FC236}">
                  <a16:creationId xmlns:a16="http://schemas.microsoft.com/office/drawing/2014/main" id="{A7E1BA82-91E2-43E3-ACE3-6CC1800339F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4697" y="709626"/>
              <a:ext cx="810883" cy="2954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296709</xdr:colOff>
      <xdr:row>7</xdr:row>
      <xdr:rowOff>114636</xdr:rowOff>
    </xdr:from>
    <xdr:to>
      <xdr:col>3</xdr:col>
      <xdr:colOff>458550</xdr:colOff>
      <xdr:row>10</xdr:row>
      <xdr:rowOff>6743</xdr:rowOff>
    </xdr:to>
    <xdr:graphicFrame macro="">
      <xdr:nvGraphicFramePr>
        <xdr:cNvPr id="38" name="Chart 37">
          <a:hlinkClick xmlns:r="http://schemas.openxmlformats.org/officeDocument/2006/relationships" r:id="rId2"/>
          <a:extLst>
            <a:ext uri="{FF2B5EF4-FFF2-40B4-BE49-F238E27FC236}">
              <a16:creationId xmlns:a16="http://schemas.microsoft.com/office/drawing/2014/main" id="{4427AC3B-1C73-4295-A079-D9C3BF5E3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437212</xdr:colOff>
      <xdr:row>7</xdr:row>
      <xdr:rowOff>131164</xdr:rowOff>
    </xdr:from>
    <xdr:to>
      <xdr:col>5</xdr:col>
      <xdr:colOff>524654</xdr:colOff>
      <xdr:row>10</xdr:row>
      <xdr:rowOff>81197</xdr:rowOff>
    </xdr:to>
    <xdr:graphicFrame macro="">
      <xdr:nvGraphicFramePr>
        <xdr:cNvPr id="40" name="Chart 39">
          <a:hlinkClick xmlns:r="http://schemas.openxmlformats.org/officeDocument/2006/relationships" r:id="rId10"/>
          <a:extLst>
            <a:ext uri="{FF2B5EF4-FFF2-40B4-BE49-F238E27FC236}">
              <a16:creationId xmlns:a16="http://schemas.microsoft.com/office/drawing/2014/main" id="{CBF39931-80D2-49B5-B583-FD6E673F7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587115</xdr:colOff>
      <xdr:row>6</xdr:row>
      <xdr:rowOff>68706</xdr:rowOff>
    </xdr:from>
    <xdr:to>
      <xdr:col>8</xdr:col>
      <xdr:colOff>24983</xdr:colOff>
      <xdr:row>10</xdr:row>
      <xdr:rowOff>49970</xdr:rowOff>
    </xdr:to>
    <xdr:graphicFrame macro="">
      <xdr:nvGraphicFramePr>
        <xdr:cNvPr id="41" name="Chart 40">
          <a:hlinkClick xmlns:r="http://schemas.openxmlformats.org/officeDocument/2006/relationships" r:id="rId12"/>
          <a:extLst>
            <a:ext uri="{FF2B5EF4-FFF2-40B4-BE49-F238E27FC236}">
              <a16:creationId xmlns:a16="http://schemas.microsoft.com/office/drawing/2014/main" id="{A49B1ADB-B56A-4B9D-B1BA-177165CEA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372188</xdr:colOff>
      <xdr:row>14</xdr:row>
      <xdr:rowOff>11815</xdr:rowOff>
    </xdr:from>
    <xdr:to>
      <xdr:col>7</xdr:col>
      <xdr:colOff>537535</xdr:colOff>
      <xdr:row>18</xdr:row>
      <xdr:rowOff>41349</xdr:rowOff>
    </xdr:to>
    <xdr:graphicFrame macro="">
      <xdr:nvGraphicFramePr>
        <xdr:cNvPr id="48" name="Chart 47">
          <a:extLst>
            <a:ext uri="{FF2B5EF4-FFF2-40B4-BE49-F238E27FC236}">
              <a16:creationId xmlns:a16="http://schemas.microsoft.com/office/drawing/2014/main" id="{3DAA10C8-856C-4AFC-A0EA-E05F1F5D7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171302</xdr:colOff>
      <xdr:row>18</xdr:row>
      <xdr:rowOff>88605</xdr:rowOff>
    </xdr:from>
    <xdr:to>
      <xdr:col>6</xdr:col>
      <xdr:colOff>100418</xdr:colOff>
      <xdr:row>19</xdr:row>
      <xdr:rowOff>129954</xdr:rowOff>
    </xdr:to>
    <xdr:sp macro="" textlink="">
      <xdr:nvSpPr>
        <xdr:cNvPr id="49" name="TextBox 48">
          <a:extLst>
            <a:ext uri="{FF2B5EF4-FFF2-40B4-BE49-F238E27FC236}">
              <a16:creationId xmlns:a16="http://schemas.microsoft.com/office/drawing/2014/main" id="{493C94EA-5EA7-EA5A-0114-20D6EDE16B8B}"/>
            </a:ext>
          </a:extLst>
        </xdr:cNvPr>
        <xdr:cNvSpPr txBox="1"/>
      </xdr:nvSpPr>
      <xdr:spPr>
        <a:xfrm>
          <a:off x="1996558" y="3384698"/>
          <a:ext cx="1754372" cy="22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No. of Patient by Age group</a:t>
          </a:r>
        </a:p>
      </xdr:txBody>
    </xdr:sp>
    <xdr:clientData/>
  </xdr:twoCellAnchor>
  <xdr:twoCellAnchor>
    <xdr:from>
      <xdr:col>8</xdr:col>
      <xdr:colOff>156250</xdr:colOff>
      <xdr:row>0</xdr:row>
      <xdr:rowOff>34285</xdr:rowOff>
    </xdr:from>
    <xdr:to>
      <xdr:col>10</xdr:col>
      <xdr:colOff>195103</xdr:colOff>
      <xdr:row>8</xdr:row>
      <xdr:rowOff>1</xdr:rowOff>
    </xdr:to>
    <xdr:graphicFrame macro="">
      <xdr:nvGraphicFramePr>
        <xdr:cNvPr id="50" name="Chart 49">
          <a:extLst>
            <a:ext uri="{FF2B5EF4-FFF2-40B4-BE49-F238E27FC236}">
              <a16:creationId xmlns:a16="http://schemas.microsoft.com/office/drawing/2014/main" id="{1E472404-C87F-4C1B-89CB-2B4D10DD9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353390</xdr:colOff>
      <xdr:row>7</xdr:row>
      <xdr:rowOff>40493</xdr:rowOff>
    </xdr:from>
    <xdr:to>
      <xdr:col>10</xdr:col>
      <xdr:colOff>220868</xdr:colOff>
      <xdr:row>8</xdr:row>
      <xdr:rowOff>3681</xdr:rowOff>
    </xdr:to>
    <xdr:sp macro="" textlink="">
      <xdr:nvSpPr>
        <xdr:cNvPr id="51" name="TextBox 50">
          <a:extLst>
            <a:ext uri="{FF2B5EF4-FFF2-40B4-BE49-F238E27FC236}">
              <a16:creationId xmlns:a16="http://schemas.microsoft.com/office/drawing/2014/main" id="{63FF4175-F676-7791-9AA5-5455E8CE2CF9}"/>
            </a:ext>
          </a:extLst>
        </xdr:cNvPr>
        <xdr:cNvSpPr txBox="1"/>
      </xdr:nvSpPr>
      <xdr:spPr>
        <a:xfrm>
          <a:off x="5241970" y="1328899"/>
          <a:ext cx="1089623" cy="147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Patient Attend Status</a:t>
          </a:r>
        </a:p>
      </xdr:txBody>
    </xdr:sp>
    <xdr:clientData/>
  </xdr:twoCellAnchor>
  <xdr:twoCellAnchor>
    <xdr:from>
      <xdr:col>9</xdr:col>
      <xdr:colOff>555670</xdr:colOff>
      <xdr:row>0</xdr:row>
      <xdr:rowOff>41119</xdr:rowOff>
    </xdr:from>
    <xdr:to>
      <xdr:col>14</xdr:col>
      <xdr:colOff>115461</xdr:colOff>
      <xdr:row>9</xdr:row>
      <xdr:rowOff>145224</xdr:rowOff>
    </xdr:to>
    <xdr:graphicFrame macro="">
      <xdr:nvGraphicFramePr>
        <xdr:cNvPr id="52" name="Chart 51">
          <a:extLst>
            <a:ext uri="{FF2B5EF4-FFF2-40B4-BE49-F238E27FC236}">
              <a16:creationId xmlns:a16="http://schemas.microsoft.com/office/drawing/2014/main" id="{170B2C45-E7B1-4710-BBCE-A7A02E695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208592</xdr:colOff>
      <xdr:row>9</xdr:row>
      <xdr:rowOff>161764</xdr:rowOff>
    </xdr:from>
    <xdr:to>
      <xdr:col>12</xdr:col>
      <xdr:colOff>426493</xdr:colOff>
      <xdr:row>17</xdr:row>
      <xdr:rowOff>136477</xdr:rowOff>
    </xdr:to>
    <xdr:graphicFrame macro="">
      <xdr:nvGraphicFramePr>
        <xdr:cNvPr id="53" name="Chart 52">
          <a:extLst>
            <a:ext uri="{FF2B5EF4-FFF2-40B4-BE49-F238E27FC236}">
              <a16:creationId xmlns:a16="http://schemas.microsoft.com/office/drawing/2014/main" id="{BAF1D087-8D85-4172-A6A3-1F3714410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602777</xdr:colOff>
      <xdr:row>18</xdr:row>
      <xdr:rowOff>56865</xdr:rowOff>
    </xdr:from>
    <xdr:to>
      <xdr:col>12</xdr:col>
      <xdr:colOff>153537</xdr:colOff>
      <xdr:row>19</xdr:row>
      <xdr:rowOff>96671</xdr:rowOff>
    </xdr:to>
    <xdr:sp macro="" textlink="">
      <xdr:nvSpPr>
        <xdr:cNvPr id="55" name="TextBox 54">
          <a:extLst>
            <a:ext uri="{FF2B5EF4-FFF2-40B4-BE49-F238E27FC236}">
              <a16:creationId xmlns:a16="http://schemas.microsoft.com/office/drawing/2014/main" id="{9522EA25-598F-85A0-6646-D8376CBA58E2}"/>
            </a:ext>
          </a:extLst>
        </xdr:cNvPr>
        <xdr:cNvSpPr txBox="1"/>
      </xdr:nvSpPr>
      <xdr:spPr>
        <a:xfrm>
          <a:off x="5470478" y="3332328"/>
          <a:ext cx="1984611" cy="221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No. of Patient by Departmental Referal</a:t>
          </a:r>
        </a:p>
      </xdr:txBody>
    </xdr:sp>
    <xdr:clientData/>
  </xdr:twoCellAnchor>
  <xdr:twoCellAnchor editAs="oneCell">
    <xdr:from>
      <xdr:col>5</xdr:col>
      <xdr:colOff>344680</xdr:colOff>
      <xdr:row>0</xdr:row>
      <xdr:rowOff>157739</xdr:rowOff>
    </xdr:from>
    <xdr:to>
      <xdr:col>7</xdr:col>
      <xdr:colOff>563239</xdr:colOff>
      <xdr:row>3</xdr:row>
      <xdr:rowOff>56030</xdr:rowOff>
    </xdr:to>
    <mc:AlternateContent xmlns:mc="http://schemas.openxmlformats.org/markup-compatibility/2006" xmlns:a14="http://schemas.microsoft.com/office/drawing/2010/main">
      <mc:Choice Requires="a14">
        <xdr:graphicFrame macro="">
          <xdr:nvGraphicFramePr>
            <xdr:cNvPr id="56" name="Date (Year)">
              <a:extLst>
                <a:ext uri="{FF2B5EF4-FFF2-40B4-BE49-F238E27FC236}">
                  <a16:creationId xmlns:a16="http://schemas.microsoft.com/office/drawing/2014/main" id="{414BC7EB-7BFB-4966-BB43-31B8928B976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92680" y="157739"/>
              <a:ext cx="1437759" cy="442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372533</xdr:colOff>
          <xdr:row>10</xdr:row>
          <xdr:rowOff>16931</xdr:rowOff>
        </xdr:from>
        <xdr:to>
          <xdr:col>7</xdr:col>
          <xdr:colOff>601133</xdr:colOff>
          <xdr:row>13</xdr:row>
          <xdr:rowOff>41412</xdr:rowOff>
        </xdr:to>
        <xdr:pic>
          <xdr:nvPicPr>
            <xdr:cNvPr id="71" name="Picture 70">
              <a:extLst>
                <a:ext uri="{FF2B5EF4-FFF2-40B4-BE49-F238E27FC236}">
                  <a16:creationId xmlns:a16="http://schemas.microsoft.com/office/drawing/2014/main" id="{26966B82-7F1F-1D72-5963-C7F6A8C1D165}"/>
                </a:ext>
              </a:extLst>
            </xdr:cNvPr>
            <xdr:cNvPicPr>
              <a:picLocks noChangeAspect="1" noChangeArrowheads="1"/>
              <a:extLst>
                <a:ext uri="{84589F7E-364E-4C9E-8A38-B11213B215E9}">
                  <a14:cameraTool cellRange="'Pivot Report'!$A$23:$D$25" spid="_x0000_s2110"/>
                </a:ext>
              </a:extLst>
            </xdr:cNvPicPr>
          </xdr:nvPicPr>
          <xdr:blipFill>
            <a:blip xmlns:r="http://schemas.openxmlformats.org/officeDocument/2006/relationships" r:embed="rId18"/>
            <a:srcRect/>
            <a:stretch>
              <a:fillRect/>
            </a:stretch>
          </xdr:blipFill>
          <xdr:spPr bwMode="auto">
            <a:xfrm>
              <a:off x="985446" y="1839105"/>
              <a:ext cx="3906078" cy="571133"/>
            </a:xfrm>
            <a:prstGeom prst="rect">
              <a:avLst/>
            </a:prstGeom>
            <a:solidFill>
              <a:schemeClr val="bg1"/>
            </a:solidFill>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0.26624</cdr:x>
      <cdr:y>0.90303</cdr:y>
    </cdr:from>
    <cdr:to>
      <cdr:x>0.69349</cdr:x>
      <cdr:y>1</cdr:y>
    </cdr:to>
    <cdr:sp macro="" textlink="">
      <cdr:nvSpPr>
        <cdr:cNvPr id="2" name="TextBox 1">
          <a:extLst xmlns:a="http://schemas.openxmlformats.org/drawingml/2006/main">
            <a:ext uri="{FF2B5EF4-FFF2-40B4-BE49-F238E27FC236}">
              <a16:creationId xmlns:a16="http://schemas.microsoft.com/office/drawing/2014/main" id="{5C052B7C-D6E1-3D2F-5B44-D73CFC6F6F35}"/>
            </a:ext>
          </a:extLst>
        </cdr:cNvPr>
        <cdr:cNvSpPr txBox="1"/>
      </cdr:nvSpPr>
      <cdr:spPr>
        <a:xfrm xmlns:a="http://schemas.openxmlformats.org/drawingml/2006/main">
          <a:off x="1015951" y="933302"/>
          <a:ext cx="1630326" cy="945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0.11839</cdr:x>
      <cdr:y>0.92065</cdr:y>
    </cdr:from>
    <cdr:to>
      <cdr:x>0.92702</cdr:x>
      <cdr:y>0.99232</cdr:y>
    </cdr:to>
    <cdr:sp macro="" textlink="">
      <cdr:nvSpPr>
        <cdr:cNvPr id="2" name="TextBox 1">
          <a:extLst xmlns:a="http://schemas.openxmlformats.org/drawingml/2006/main">
            <a:ext uri="{FF2B5EF4-FFF2-40B4-BE49-F238E27FC236}">
              <a16:creationId xmlns:a16="http://schemas.microsoft.com/office/drawing/2014/main" id="{28E7D7EE-0FAC-AA31-7F14-B3899C1BB89B}"/>
            </a:ext>
          </a:extLst>
        </cdr:cNvPr>
        <cdr:cNvSpPr txBox="1"/>
      </cdr:nvSpPr>
      <cdr:spPr>
        <a:xfrm xmlns:a="http://schemas.openxmlformats.org/drawingml/2006/main">
          <a:off x="149286" y="1324063"/>
          <a:ext cx="1019681" cy="1030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0.27873</cdr:x>
      <cdr:y>0.72023</cdr:y>
    </cdr:from>
    <cdr:to>
      <cdr:x>0.748</cdr:x>
      <cdr:y>0.80529</cdr:y>
    </cdr:to>
    <cdr:sp macro="" textlink="">
      <cdr:nvSpPr>
        <cdr:cNvPr id="2" name="TextBox 1">
          <a:extLst xmlns:a="http://schemas.openxmlformats.org/drawingml/2006/main">
            <a:ext uri="{FF2B5EF4-FFF2-40B4-BE49-F238E27FC236}">
              <a16:creationId xmlns:a16="http://schemas.microsoft.com/office/drawing/2014/main" id="{61A5F963-56A5-8630-5FC5-6AFA7E9530EB}"/>
            </a:ext>
          </a:extLst>
        </cdr:cNvPr>
        <cdr:cNvSpPr txBox="1"/>
      </cdr:nvSpPr>
      <cdr:spPr>
        <a:xfrm xmlns:a="http://schemas.openxmlformats.org/drawingml/2006/main">
          <a:off x="725681" y="1261518"/>
          <a:ext cx="1221755" cy="1489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800" b="1" kern="1200"/>
            <a:t>Gender wise Analysis</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167640</xdr:colOff>
      <xdr:row>18</xdr:row>
      <xdr:rowOff>38100</xdr:rowOff>
    </xdr:to>
    <xdr:graphicFrame macro="">
      <xdr:nvGraphicFramePr>
        <xdr:cNvPr id="2" name="Chart 1">
          <a:extLst>
            <a:ext uri="{FF2B5EF4-FFF2-40B4-BE49-F238E27FC236}">
              <a16:creationId xmlns:a16="http://schemas.microsoft.com/office/drawing/2014/main" id="{5AEEB2B1-EEB4-451A-A442-497534F1B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15</xdr:row>
      <xdr:rowOff>167640</xdr:rowOff>
    </xdr:from>
    <xdr:to>
      <xdr:col>8</xdr:col>
      <xdr:colOff>586740</xdr:colOff>
      <xdr:row>17</xdr:row>
      <xdr:rowOff>106680</xdr:rowOff>
    </xdr:to>
    <xdr:sp macro="" textlink="">
      <xdr:nvSpPr>
        <xdr:cNvPr id="3" name="TextBox 2">
          <a:extLst>
            <a:ext uri="{FF2B5EF4-FFF2-40B4-BE49-F238E27FC236}">
              <a16:creationId xmlns:a16="http://schemas.microsoft.com/office/drawing/2014/main" id="{1CB908AA-5FA9-73E0-9186-4366248F6450}"/>
            </a:ext>
          </a:extLst>
        </xdr:cNvPr>
        <xdr:cNvSpPr txBox="1"/>
      </xdr:nvSpPr>
      <xdr:spPr>
        <a:xfrm>
          <a:off x="144780" y="2910840"/>
          <a:ext cx="531876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 a daily trend with an area sparline to spot patterns like busy days or seasonal trends.</a:t>
          </a:r>
        </a:p>
      </xdr:txBody>
    </xdr:sp>
    <xdr:clientData/>
  </xdr:twoCellAnchor>
  <xdr:twoCellAnchor editAs="oneCell">
    <xdr:from>
      <xdr:col>0</xdr:col>
      <xdr:colOff>68580</xdr:colOff>
      <xdr:row>0</xdr:row>
      <xdr:rowOff>45720</xdr:rowOff>
    </xdr:from>
    <xdr:to>
      <xdr:col>0</xdr:col>
      <xdr:colOff>525780</xdr:colOff>
      <xdr:row>2</xdr:row>
      <xdr:rowOff>137160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74C0837A-3E17-3601-4E8F-09BA77B5DB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 y="45720"/>
          <a:ext cx="457200" cy="457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495300</xdr:colOff>
      <xdr:row>23</xdr:row>
      <xdr:rowOff>175260</xdr:rowOff>
    </xdr:to>
    <xdr:graphicFrame macro="">
      <xdr:nvGraphicFramePr>
        <xdr:cNvPr id="2" name="Chart 1">
          <a:extLst>
            <a:ext uri="{FF2B5EF4-FFF2-40B4-BE49-F238E27FC236}">
              <a16:creationId xmlns:a16="http://schemas.microsoft.com/office/drawing/2014/main" id="{3FA9AC5C-6E4B-45E4-8C6A-486508B5B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24</xdr:row>
      <xdr:rowOff>83820</xdr:rowOff>
    </xdr:from>
    <xdr:to>
      <xdr:col>11</xdr:col>
      <xdr:colOff>220980</xdr:colOff>
      <xdr:row>26</xdr:row>
      <xdr:rowOff>99060</xdr:rowOff>
    </xdr:to>
    <xdr:sp macro="" textlink="">
      <xdr:nvSpPr>
        <xdr:cNvPr id="3" name="TextBox 2">
          <a:extLst>
            <a:ext uri="{FF2B5EF4-FFF2-40B4-BE49-F238E27FC236}">
              <a16:creationId xmlns:a16="http://schemas.microsoft.com/office/drawing/2014/main" id="{6CD0BFF4-65D2-6E0E-D737-4938A344F1AD}"/>
            </a:ext>
          </a:extLst>
        </xdr:cNvPr>
        <xdr:cNvSpPr txBox="1"/>
      </xdr:nvSpPr>
      <xdr:spPr>
        <a:xfrm>
          <a:off x="274320" y="4472940"/>
          <a:ext cx="665226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a:t>
          </a:r>
          <a:r>
            <a:rPr lang="en-IN" sz="1100" baseline="0"/>
            <a:t> area chart to track daily changes and highlights days with longer wait times that might need improvements</a:t>
          </a:r>
          <a:endParaRPr lang="en-IN" sz="1100"/>
        </a:p>
      </xdr:txBody>
    </xdr:sp>
    <xdr:clientData/>
  </xdr:twoCellAnchor>
  <xdr:twoCellAnchor editAs="oneCell">
    <xdr:from>
      <xdr:col>0</xdr:col>
      <xdr:colOff>0</xdr:colOff>
      <xdr:row>3</xdr:row>
      <xdr:rowOff>53340</xdr:rowOff>
    </xdr:from>
    <xdr:to>
      <xdr:col>0</xdr:col>
      <xdr:colOff>342900</xdr:colOff>
      <xdr:row>5</xdr:row>
      <xdr:rowOff>30480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C5809A85-658C-9E4C-9C12-E59CA3DC04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601980"/>
          <a:ext cx="342900" cy="342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76200</xdr:rowOff>
    </xdr:from>
    <xdr:to>
      <xdr:col>11</xdr:col>
      <xdr:colOff>358140</xdr:colOff>
      <xdr:row>24</xdr:row>
      <xdr:rowOff>137160</xdr:rowOff>
    </xdr:to>
    <xdr:graphicFrame macro="">
      <xdr:nvGraphicFramePr>
        <xdr:cNvPr id="2" name="Chart 1">
          <a:extLst>
            <a:ext uri="{FF2B5EF4-FFF2-40B4-BE49-F238E27FC236}">
              <a16:creationId xmlns:a16="http://schemas.microsoft.com/office/drawing/2014/main" id="{3FFCF741-C3A0-4A82-A8BE-276244664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4</xdr:row>
      <xdr:rowOff>38100</xdr:rowOff>
    </xdr:from>
    <xdr:to>
      <xdr:col>0</xdr:col>
      <xdr:colOff>571500</xdr:colOff>
      <xdr:row>6</xdr:row>
      <xdr:rowOff>152400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4136909-498A-BB82-D303-DCCD3F914F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 y="769620"/>
          <a:ext cx="480060" cy="4800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5046294" backgroundQuery="1" createdVersion="8" refreshedVersion="8" minRefreshableVersion="3" recordCount="0" supportSubquery="1" supportAdvancedDrill="1" xr:uid="{27111C21-4EC7-482D-B344-65339A9BD9F2}">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5277779" backgroundQuery="1" createdVersion="8" refreshedVersion="8" minRefreshableVersion="3" recordCount="0" supportSubquery="1" supportAdvancedDrill="1" xr:uid="{5BDEF0A6-0DAB-46F5-A417-02171CAA04C3}">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5625002" backgroundQuery="1" createdVersion="8" refreshedVersion="8" minRefreshableVersion="3" recordCount="0" supportSubquery="1" supportAdvancedDrill="1" xr:uid="{F553AB53-0212-4F08-B926-A4D86176C755}">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1"/>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5972225" backgroundQuery="1" createdVersion="8" refreshedVersion="8" minRefreshableVersion="3" recordCount="0" supportSubquery="1" supportAdvancedDrill="1" xr:uid="{88595C18-3E1C-4894-9C1E-8DCFD97694C1}">
  <cacheSource type="external" connectionId="3"/>
  <cacheFields count="4">
    <cacheField name="[Calendar_Table].[Date (Month)].[Date (Month)]" caption="Date (Month)" numFmtId="0" hierarchy="1" level="1">
      <sharedItems containsSemiMixedTypes="0" containsNonDate="0" containsString="0"/>
    </cacheField>
    <cacheField name="[Measures].[Count of Patient attend Status]" caption="Count of Patient attend Status" numFmtId="0" hierarchy="31"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6435187" backgroundQuery="1" createdVersion="8" refreshedVersion="8" minRefreshableVersion="3" recordCount="0" supportSubquery="1" supportAdvancedDrill="1" xr:uid="{3AB3FA16-4C76-450F-9449-3359159DDAE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7013888" backgroundQuery="1" createdVersion="8" refreshedVersion="8" minRefreshableVersion="3" recordCount="0" supportSubquery="1" supportAdvancedDrill="1" xr:uid="{2CDA0DAF-408C-49FA-AD20-51B3F633AFA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7245372" backgroundQuery="1" createdVersion="8" refreshedVersion="8" minRefreshableVersion="3" recordCount="0" supportSubquery="1" supportAdvancedDrill="1" xr:uid="{364F49E6-9347-460B-BEC7-69E2749DB5D8}">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7592595" backgroundQuery="1" createdVersion="8" refreshedVersion="8" minRefreshableVersion="3" recordCount="0" supportSubquery="1" supportAdvancedDrill="1" xr:uid="{392A09B7-0E6D-40C0-92C6-F3CC92C17A2F}">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8055557" backgroundQuery="1" createdVersion="8" refreshedVersion="8" minRefreshableVersion="3" recordCount="0" supportSubquery="1" supportAdvancedDrill="1" xr:uid="{44E39239-C615-4560-A5F8-F932B0747322}">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8518519" backgroundQuery="1" createdVersion="8" refreshedVersion="8" minRefreshableVersion="3" recordCount="0" supportSubquery="1" supportAdvancedDrill="1" xr:uid="{396942B0-6C9F-43D1-A444-D0271F00BB44}">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909722" backgroundQuery="1" createdVersion="8" refreshedVersion="8" minRefreshableVersion="3" recordCount="0" supportSubquery="1" supportAdvancedDrill="1" xr:uid="{EA060BB5-52B3-4803-AAA8-4D33D155E0DE}">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9.909319560182" backgroundQuery="1" createdVersion="8" refreshedVersion="8" minRefreshableVersion="3" recordCount="0" supportSubquery="1" supportAdvancedDrill="1" xr:uid="{94A02D5A-8F9F-44D8-B3C6-4A432BAE1226}">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l Kumar" refreshedDate="46264.721662962962" backgroundQuery="1" createdVersion="3" refreshedVersion="8" minRefreshableVersion="3" recordCount="0" supportSubquery="1" supportAdvancedDrill="1" xr:uid="{865B6E36-6188-42DC-9AAF-1D70B0B023A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512572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DB5D7-F18E-4818-AFC6-B210DD67B6AF}" name="PivotTable2" cacheId="6" applyNumberFormats="0" applyBorderFormats="0" applyFontFormats="0" applyPatternFormats="0" applyAlignmentFormats="0" applyWidthHeightFormats="1" dataCaption="Values" tag="78388988-1f24-4157-a43c-4800da94e8d7"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97C0B-B34C-4804-9370-5498D52405A9}" name="PivotTable3" cacheId="7" applyNumberFormats="0" applyBorderFormats="0" applyFontFormats="0" applyPatternFormats="0" applyAlignmentFormats="0" applyWidthHeightFormats="1" dataCaption="Values" tag="2e73365a-063d-4aa0-8e3f-488784680152" updatedVersion="8" minRefreshableVersion="3" subtotalHiddenItems="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DE6C01-A3E2-4059-858E-0F6DA51FD376}" name="PivotTable7" cacheId="10" applyNumberFormats="0" applyBorderFormats="0" applyFontFormats="0" applyPatternFormats="0" applyAlignmentFormats="0" applyWidthHeightFormats="1" dataCaption="Values" tag="227cd955-279a-469c-b8a4-3b0a6b9727c6" updatedVersion="8" minRefreshableVersion="3" subtotalHiddenItems="1" itemPrintTitles="1" createdVersion="8" indent="0" outline="1" outlineData="1" multipleFieldFilters="0" chartFormat="29">
  <location ref="K5:L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3">
      <pivotArea collapsedLevelsAreSubtotals="1" fieldPosition="0">
        <references count="1">
          <reference field="0" count="0"/>
        </references>
      </pivotArea>
    </format>
    <format dxfId="2">
      <pivotArea grandRow="1" outline="0" collapsedLevelsAreSubtotals="1" fieldPosition="0"/>
    </format>
  </formats>
  <chartFormats count="3">
    <chartFormat chart="24"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FB8FE8-FF93-4735-946A-11BEE42F7960}" name="PivotTable9" cacheId="11" applyNumberFormats="0" applyBorderFormats="0" applyFontFormats="0" applyPatternFormats="0" applyAlignmentFormats="0" applyWidthHeightFormats="1" dataCaption="Values" tag="e1b9338d-ab1f-43be-8bfa-773f9952a920" updatedVersion="8" minRefreshableVersion="3" subtotalHiddenItems="1" itemPrintTitles="1" createdVersion="8" indent="0" outline="1" outlineData="1" multipleFieldFilters="0" chartFormat="21">
  <location ref="A16:C1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5">
      <pivotArea outline="0" collapsedLevelsAreSubtotals="1" fieldPosition="0"/>
    </format>
    <format dxfId="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8231F-EED4-4C2C-9B66-8F1C4E0156A4}" name="PivotTable13" cacheId="4" applyNumberFormats="0" applyBorderFormats="0" applyFontFormats="0" applyPatternFormats="0" applyAlignmentFormats="0" applyWidthHeightFormats="1" dataCaption="Values" tag="69e8368f-9f20-47d7-84a4-255069754394" updatedVersion="8" minRefreshableVersion="3" subtotalHiddenItems="1" itemPrintTitles="1" createdVersion="8" indent="0" outline="1" outlineData="1" multipleFieldFilters="0" chartFormat="17">
  <location ref="A50:B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B75E85-E703-467B-A70F-C35360C1600B}" name="PivotTable6" cacheId="9" applyNumberFormats="0" applyBorderFormats="0" applyFontFormats="0" applyPatternFormats="0" applyAlignmentFormats="0" applyWidthHeightFormats="1" dataCaption="Values" tag="28c55bb0-80e9-42d1-b219-f8b5089336e6" updatedVersion="8" minRefreshableVersion="3" subtotalHiddenItems="1" itemPrintTitles="1" createdVersion="8" indent="0" outline="1" outlineData="1" multipleFieldFilters="0" chartFormat="23">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1"/>
  </dataFields>
  <formats count="2">
    <format dxfId="8">
      <pivotArea collapsedLevelsAreSubtotals="1" fieldPosition="0">
        <references count="1">
          <reference field="0" count="0"/>
        </references>
      </pivotArea>
    </format>
    <format dxfId="7">
      <pivotArea grandRow="1"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68EF4F-3E4B-4AAA-8DEC-43E745A78C81}" name="PivotTable14" cacheId="5" applyNumberFormats="0" applyBorderFormats="0" applyFontFormats="0" applyPatternFormats="0" applyAlignmentFormats="0" applyWidthHeightFormats="1" dataCaption="Values" tag="1cdfecee-9566-469a-9a3a-955a5228d5b1" updatedVersion="8" minRefreshableVersion="3" subtotalHiddenItems="1" itemPrintTitles="1" createdVersion="8" indent="0" outline="1" outlineData="1" multipleFieldFilters="0" chartFormat="21">
  <location ref="A57:B66"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3882E9-C6FB-4C0F-BBFF-454065D038A5}" name="PivotTable4" cacheId="8" applyNumberFormats="0" applyBorderFormats="0" applyFontFormats="0" applyPatternFormats="0" applyAlignmentFormats="0" applyWidthHeightFormats="1" dataCaption="Values" tag="1d0e63d0-8af1-4f19-9dcc-d9132fe88d6d" updatedVersion="8" minRefreshableVersion="3" subtotalHiddenItems="1" itemPrintTitles="1" createdVersion="8" indent="0" outline="1" outlineData="1" multipleFieldFilters="0" chartFormat="16">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8"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555CEC-86A1-4720-B9DA-F1C401BCFEE4}" name="PivotTable15" cacheId="0" applyNumberFormats="0" applyBorderFormats="0" applyFontFormats="0" applyPatternFormats="0" applyAlignmentFormats="0" applyWidthHeightFormats="1" dataCaption="Values" tag="7caec6f9-7add-42ea-85e9-c9e8026a18b0" updatedVersion="8" minRefreshableVersion="3" subtotalHiddenItems="1" itemPrintTitles="1" createdVersion="8" indent="0" outline="1" outlineData="1" multipleFieldFilters="0" chartFormat="21">
  <location ref="A70:A72" firstHeaderRow="1" firstDataRow="1" firstDataCol="1"/>
  <pivotFields count="4">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1"/>
    <field x="0"/>
  </rowFields>
  <rowItems count="2">
    <i>
      <x/>
    </i>
    <i t="grand">
      <x/>
    </i>
  </rowItems>
  <formats count="1">
    <format dxfId="10">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F96639-BF74-4924-BD50-12FF77675D09}" name="PivotTable12" cacheId="3" applyNumberFormats="0" applyBorderFormats="0" applyFontFormats="0" applyPatternFormats="0" applyAlignmentFormats="0" applyWidthHeightFormats="1" dataCaption="Values" tag="021a03b6-5c53-4fe3-8271-d09b8fbb3d70" updatedVersion="8" minRefreshableVersion="3" subtotalHiddenItems="1" itemPrintTitles="1" createdVersion="8" indent="0" outline="1" outlineData="1" multipleFieldFilters="0" chartFormat="12">
  <location ref="A43:B4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11">
      <pivotArea outline="0" collapsedLevelsAreSubtotals="1" fieldPosition="0"/>
    </format>
  </formats>
  <chartFormats count="3">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585DF4-67FC-4D9C-B7A2-C5BA7B493122}" name="PivotTable1" cacheId="1" applyNumberFormats="0" applyBorderFormats="0" applyFontFormats="0" applyPatternFormats="0" applyAlignmentFormats="0" applyWidthHeightFormats="1" dataCaption="Values" tag="30151f82-85d4-4df2-8600-ebd37ed3f734"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4E7335-51DC-41C5-A99F-E191185EDE7C}" name="PivotTable10" cacheId="2" applyNumberFormats="0" applyBorderFormats="0" applyFontFormats="0" applyPatternFormats="0" applyAlignmentFormats="0" applyWidthHeightFormats="1" dataCaption="Values" tag="0104026f-99a2-4b7f-9968-fa00a695ff28" updatedVersion="8" minRefreshableVersion="3" subtotalHiddenItems="1" itemPrintTitles="1" createdVersion="8" indent="0" outline="1" outlineData="1" multipleFieldFilters="0" chartFormat="6">
  <location ref="A29:B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2">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2766956-8451-4E16-8B7D-8D3D0F2ACAF0}" sourceName="[Calendar_Table].[Date (Month)]">
  <pivotTables>
    <pivotTable tabId="1" name="PivotTable4"/>
    <pivotTable tabId="1" name="PivotTable1"/>
    <pivotTable tabId="1" name="PivotTable2"/>
    <pivotTable tabId="1" name="PivotTable3"/>
    <pivotTable tabId="1" name="PivotTable6"/>
    <pivotTable tabId="1" name="PivotTable7"/>
    <pivotTable tabId="1" name="PivotTable9"/>
    <pivotTable tabId="1" name="PivotTable10"/>
    <pivotTable tabId="1" name="PivotTable12"/>
    <pivotTable tabId="1" name="PivotTable13"/>
    <pivotTable tabId="1" name="PivotTable14"/>
    <pivotTable tabId="1" name="PivotTable15"/>
  </pivotTables>
  <data>
    <olap pivotCacheId="95125724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D4AAAA2-D71C-463F-AE72-D9DFD9A01017}" sourceName="[Calendar_Table].[Date (Year)]">
  <pivotTables>
    <pivotTable tabId="1" name="PivotTable15"/>
    <pivotTable tabId="1" name="PivotTable1"/>
    <pivotTable tabId="1" name="PivotTable10"/>
    <pivotTable tabId="1" name="PivotTable12"/>
    <pivotTable tabId="1" name="PivotTable13"/>
    <pivotTable tabId="1" name="PivotTable14"/>
    <pivotTable tabId="1" name="PivotTable2"/>
    <pivotTable tabId="1" name="PivotTable3"/>
    <pivotTable tabId="1" name="PivotTable4"/>
    <pivotTable tabId="1" name="PivotTable6"/>
    <pivotTable tabId="1" name="PivotTable7"/>
    <pivotTable tabId="1" name="PivotTable9"/>
  </pivotTables>
  <data>
    <olap pivotCacheId="95125724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B56C38B-2B5E-470B-ABC2-5F76AF920693}" cache="Slicer_Date__Month" caption="Date (Month)" showCaption="0" level="1" style="My style" rowHeight="198000"/>
  <slicer name="Date (Year)" xr10:uid="{4FA3BD4A-A288-4B1B-B7B7-EE3889611C01}" cache="Slicer_Date__Year" caption="Date (Year)" columnCount="2"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025CF-EA05-4376-A5A9-2E3DB604C7AC}">
  <dimension ref="A3:O72"/>
  <sheetViews>
    <sheetView zoomScale="47" zoomScaleNormal="44" workbookViewId="0">
      <selection activeCell="A15" sqref="A15"/>
    </sheetView>
  </sheetViews>
  <sheetFormatPr defaultRowHeight="14.4" x14ac:dyDescent="0.3"/>
  <cols>
    <col min="1" max="1" width="26.77734375" customWidth="1"/>
    <col min="2" max="2" width="41.109375" customWidth="1"/>
    <col min="3" max="3" width="39.33203125" customWidth="1"/>
    <col min="4" max="4" width="17" customWidth="1"/>
    <col min="5" max="5" width="24.44140625" customWidth="1"/>
    <col min="6" max="6" width="28.5546875" customWidth="1"/>
    <col min="8" max="8" width="19.44140625" customWidth="1"/>
    <col min="9" max="9" width="28.109375" customWidth="1"/>
    <col min="10" max="10" width="10" customWidth="1"/>
    <col min="11" max="11" width="32.5546875" customWidth="1"/>
    <col min="12" max="12" width="36.6640625" customWidth="1"/>
  </cols>
  <sheetData>
    <row r="3" spans="1:15" x14ac:dyDescent="0.3">
      <c r="A3" t="s">
        <v>1</v>
      </c>
      <c r="E3" t="s">
        <v>7</v>
      </c>
      <c r="H3" t="s">
        <v>8</v>
      </c>
    </row>
    <row r="4" spans="1:15" x14ac:dyDescent="0.3">
      <c r="A4" t="s">
        <v>0</v>
      </c>
      <c r="E4" s="2" t="s">
        <v>4</v>
      </c>
      <c r="F4" t="s">
        <v>0</v>
      </c>
      <c r="H4" s="2" t="s">
        <v>4</v>
      </c>
      <c r="I4" t="s">
        <v>2</v>
      </c>
      <c r="K4" t="s">
        <v>9</v>
      </c>
    </row>
    <row r="5" spans="1:15" x14ac:dyDescent="0.3">
      <c r="A5">
        <v>479</v>
      </c>
      <c r="E5" s="4" t="s">
        <v>48</v>
      </c>
      <c r="F5">
        <v>19</v>
      </c>
      <c r="H5" s="4" t="s">
        <v>48</v>
      </c>
      <c r="I5" s="3">
        <v>40.473684210526315</v>
      </c>
      <c r="K5" s="2" t="s">
        <v>4</v>
      </c>
      <c r="L5" t="s">
        <v>3</v>
      </c>
      <c r="O5" s="1"/>
    </row>
    <row r="6" spans="1:15" x14ac:dyDescent="0.3">
      <c r="E6" s="4" t="s">
        <v>49</v>
      </c>
      <c r="F6">
        <v>13</v>
      </c>
      <c r="H6" s="4" t="s">
        <v>49</v>
      </c>
      <c r="I6" s="3">
        <v>29.46153846153846</v>
      </c>
      <c r="K6" s="4" t="s">
        <v>48</v>
      </c>
      <c r="L6" s="3">
        <v>3.8</v>
      </c>
    </row>
    <row r="7" spans="1:15" x14ac:dyDescent="0.3">
      <c r="A7" t="s">
        <v>44</v>
      </c>
      <c r="E7" s="4" t="s">
        <v>50</v>
      </c>
      <c r="F7">
        <v>14</v>
      </c>
      <c r="H7" s="4" t="s">
        <v>50</v>
      </c>
      <c r="I7" s="3">
        <v>33.928571428571431</v>
      </c>
      <c r="K7" s="4" t="s">
        <v>49</v>
      </c>
      <c r="L7" s="3">
        <v>7.75</v>
      </c>
    </row>
    <row r="8" spans="1:15" x14ac:dyDescent="0.3">
      <c r="A8" t="s">
        <v>2</v>
      </c>
      <c r="E8" s="4" t="s">
        <v>51</v>
      </c>
      <c r="F8">
        <v>9</v>
      </c>
      <c r="H8" s="4" t="s">
        <v>51</v>
      </c>
      <c r="I8" s="3">
        <v>32.222222222222221</v>
      </c>
      <c r="K8" s="4" t="s">
        <v>50</v>
      </c>
      <c r="L8" s="3">
        <v>4.5999999999999996</v>
      </c>
    </row>
    <row r="9" spans="1:15" x14ac:dyDescent="0.3">
      <c r="A9" s="3">
        <v>34.90187891440501</v>
      </c>
      <c r="E9" s="4" t="s">
        <v>52</v>
      </c>
      <c r="F9">
        <v>19</v>
      </c>
      <c r="H9" s="4" t="s">
        <v>52</v>
      </c>
      <c r="I9" s="3">
        <v>35.736842105263158</v>
      </c>
      <c r="K9" s="4" t="s">
        <v>51</v>
      </c>
      <c r="L9" s="3">
        <v>6</v>
      </c>
    </row>
    <row r="10" spans="1:15" x14ac:dyDescent="0.3">
      <c r="E10" s="4" t="s">
        <v>53</v>
      </c>
      <c r="F10">
        <v>14</v>
      </c>
      <c r="H10" s="4" t="s">
        <v>53</v>
      </c>
      <c r="I10" s="3">
        <v>30.142857142857142</v>
      </c>
      <c r="K10" s="4" t="s">
        <v>52</v>
      </c>
      <c r="L10" s="3">
        <v>5.5714285714285712</v>
      </c>
    </row>
    <row r="11" spans="1:15" x14ac:dyDescent="0.3">
      <c r="A11" t="s">
        <v>45</v>
      </c>
      <c r="E11" s="4" t="s">
        <v>54</v>
      </c>
      <c r="F11">
        <v>11</v>
      </c>
      <c r="H11" s="4" t="s">
        <v>54</v>
      </c>
      <c r="I11" s="3">
        <v>33.81818181818182</v>
      </c>
      <c r="K11" s="4" t="s">
        <v>53</v>
      </c>
      <c r="L11" s="3">
        <v>2</v>
      </c>
    </row>
    <row r="12" spans="1:15" x14ac:dyDescent="0.3">
      <c r="A12" t="s">
        <v>3</v>
      </c>
      <c r="E12" s="4" t="s">
        <v>55</v>
      </c>
      <c r="F12">
        <v>22</v>
      </c>
      <c r="H12" s="4" t="s">
        <v>55</v>
      </c>
      <c r="I12" s="3">
        <v>31.681818181818183</v>
      </c>
      <c r="K12" s="4" t="s">
        <v>54</v>
      </c>
      <c r="L12" s="3">
        <v>8</v>
      </c>
    </row>
    <row r="13" spans="1:15" x14ac:dyDescent="0.3">
      <c r="A13" s="3">
        <v>5.3034482758620687</v>
      </c>
      <c r="E13" s="4" t="s">
        <v>56</v>
      </c>
      <c r="F13">
        <v>12</v>
      </c>
      <c r="H13" s="4" t="s">
        <v>56</v>
      </c>
      <c r="I13" s="3">
        <v>36.416666666666664</v>
      </c>
      <c r="K13" s="4" t="s">
        <v>55</v>
      </c>
      <c r="L13" s="3">
        <v>8</v>
      </c>
    </row>
    <row r="14" spans="1:15" x14ac:dyDescent="0.3">
      <c r="E14" s="4" t="s">
        <v>57</v>
      </c>
      <c r="F14">
        <v>13</v>
      </c>
      <c r="H14" s="4" t="s">
        <v>57</v>
      </c>
      <c r="I14" s="3">
        <v>33.692307692307693</v>
      </c>
      <c r="K14" s="4" t="s">
        <v>56</v>
      </c>
      <c r="L14" s="3">
        <v>5.25</v>
      </c>
    </row>
    <row r="15" spans="1:15" x14ac:dyDescent="0.3">
      <c r="E15" s="4" t="s">
        <v>58</v>
      </c>
      <c r="F15">
        <v>17</v>
      </c>
      <c r="H15" s="4" t="s">
        <v>58</v>
      </c>
      <c r="I15" s="3">
        <v>39.117647058823529</v>
      </c>
      <c r="K15" s="4" t="s">
        <v>57</v>
      </c>
      <c r="L15" s="3">
        <v>6</v>
      </c>
    </row>
    <row r="16" spans="1:15" x14ac:dyDescent="0.3">
      <c r="A16" s="2" t="s">
        <v>4</v>
      </c>
      <c r="B16" t="s">
        <v>12</v>
      </c>
      <c r="C16" t="s">
        <v>13</v>
      </c>
      <c r="E16" s="4" t="s">
        <v>59</v>
      </c>
      <c r="F16">
        <v>30</v>
      </c>
      <c r="H16" s="4" t="s">
        <v>59</v>
      </c>
      <c r="I16" s="3">
        <v>36.93333333333333</v>
      </c>
      <c r="K16" s="4" t="s">
        <v>58</v>
      </c>
      <c r="L16" s="3">
        <v>6.5</v>
      </c>
    </row>
    <row r="17" spans="1:12" x14ac:dyDescent="0.3">
      <c r="A17" s="4" t="s">
        <v>10</v>
      </c>
      <c r="B17" s="7">
        <v>237</v>
      </c>
      <c r="C17" s="8">
        <v>0.49478079331941544</v>
      </c>
      <c r="E17" s="4" t="s">
        <v>60</v>
      </c>
      <c r="F17">
        <v>13</v>
      </c>
      <c r="H17" s="4" t="s">
        <v>60</v>
      </c>
      <c r="I17" s="3">
        <v>29.923076923076923</v>
      </c>
      <c r="K17" s="4" t="s">
        <v>59</v>
      </c>
      <c r="L17" s="3">
        <v>5.75</v>
      </c>
    </row>
    <row r="18" spans="1:12" x14ac:dyDescent="0.3">
      <c r="A18" s="4" t="s">
        <v>11</v>
      </c>
      <c r="B18" s="7">
        <v>242</v>
      </c>
      <c r="C18" s="8">
        <v>0.50521920668058451</v>
      </c>
      <c r="E18" s="4" t="s">
        <v>61</v>
      </c>
      <c r="F18">
        <v>21</v>
      </c>
      <c r="H18" s="4" t="s">
        <v>61</v>
      </c>
      <c r="I18" s="3">
        <v>31.666666666666668</v>
      </c>
      <c r="K18" s="4" t="s">
        <v>60</v>
      </c>
      <c r="L18" s="3">
        <v>5.6</v>
      </c>
    </row>
    <row r="19" spans="1:12" x14ac:dyDescent="0.3">
      <c r="A19" s="4" t="s">
        <v>5</v>
      </c>
      <c r="B19" s="7">
        <v>479</v>
      </c>
      <c r="C19" s="8">
        <v>1</v>
      </c>
      <c r="E19" s="4" t="s">
        <v>62</v>
      </c>
      <c r="F19">
        <v>12</v>
      </c>
      <c r="H19" s="4" t="s">
        <v>62</v>
      </c>
      <c r="I19" s="3">
        <v>40.25</v>
      </c>
      <c r="K19" s="4" t="s">
        <v>61</v>
      </c>
      <c r="L19" s="3">
        <v>6.5</v>
      </c>
    </row>
    <row r="20" spans="1:12" x14ac:dyDescent="0.3">
      <c r="E20" s="4" t="s">
        <v>63</v>
      </c>
      <c r="F20">
        <v>17</v>
      </c>
      <c r="H20" s="4" t="s">
        <v>63</v>
      </c>
      <c r="I20" s="3">
        <v>30</v>
      </c>
      <c r="K20" s="4" t="s">
        <v>62</v>
      </c>
      <c r="L20" s="3">
        <v>5.666666666666667</v>
      </c>
    </row>
    <row r="21" spans="1:12" x14ac:dyDescent="0.3">
      <c r="E21" s="4" t="s">
        <v>64</v>
      </c>
      <c r="F21">
        <v>16</v>
      </c>
      <c r="H21" s="4" t="s">
        <v>64</v>
      </c>
      <c r="I21" s="3">
        <v>35</v>
      </c>
      <c r="K21" s="4" t="s">
        <v>63</v>
      </c>
      <c r="L21" s="3">
        <v>5.666666666666667</v>
      </c>
    </row>
    <row r="22" spans="1:12" x14ac:dyDescent="0.3">
      <c r="E22" s="4" t="s">
        <v>65</v>
      </c>
      <c r="F22">
        <v>20</v>
      </c>
      <c r="H22" s="4" t="s">
        <v>65</v>
      </c>
      <c r="I22" s="3">
        <v>41.85</v>
      </c>
      <c r="K22" s="4" t="s">
        <v>64</v>
      </c>
      <c r="L22" s="3">
        <v>5.8</v>
      </c>
    </row>
    <row r="23" spans="1:12" x14ac:dyDescent="0.3">
      <c r="A23" s="10" t="s">
        <v>14</v>
      </c>
      <c r="B23" s="10" t="s">
        <v>16</v>
      </c>
      <c r="C23" s="10" t="s">
        <v>15</v>
      </c>
      <c r="D23" s="9"/>
      <c r="E23" s="4" t="s">
        <v>66</v>
      </c>
      <c r="F23">
        <v>18</v>
      </c>
      <c r="H23" s="4" t="s">
        <v>66</v>
      </c>
      <c r="I23" s="3">
        <v>33.277777777777779</v>
      </c>
      <c r="K23" s="4" t="s">
        <v>65</v>
      </c>
      <c r="L23" s="3">
        <v>4.666666666666667</v>
      </c>
    </row>
    <row r="24" spans="1:12" x14ac:dyDescent="0.3">
      <c r="A24" s="11" t="str">
        <f>A18</f>
        <v>Not Admitted</v>
      </c>
      <c r="B24" s="14">
        <f>B18</f>
        <v>242</v>
      </c>
      <c r="C24" s="12">
        <f>C18</f>
        <v>0.50521920668058451</v>
      </c>
      <c r="E24" s="4" t="s">
        <v>67</v>
      </c>
      <c r="F24">
        <v>16</v>
      </c>
      <c r="H24" s="4" t="s">
        <v>67</v>
      </c>
      <c r="I24" s="3">
        <v>32.9375</v>
      </c>
      <c r="K24" s="4" t="s">
        <v>66</v>
      </c>
      <c r="L24" s="3">
        <v>4.833333333333333</v>
      </c>
    </row>
    <row r="25" spans="1:12" x14ac:dyDescent="0.3">
      <c r="A25" s="11" t="str">
        <f>A17</f>
        <v>Admitted</v>
      </c>
      <c r="B25" s="11">
        <f>B17</f>
        <v>237</v>
      </c>
      <c r="C25" s="12">
        <f>C17</f>
        <v>0.49478079331941544</v>
      </c>
      <c r="E25" s="4" t="s">
        <v>68</v>
      </c>
      <c r="F25">
        <v>15</v>
      </c>
      <c r="H25" s="4" t="s">
        <v>68</v>
      </c>
      <c r="I25" s="3">
        <v>33.266666666666666</v>
      </c>
      <c r="K25" s="4" t="s">
        <v>67</v>
      </c>
      <c r="L25" s="3">
        <v>2.3333333333333335</v>
      </c>
    </row>
    <row r="26" spans="1:12" x14ac:dyDescent="0.3">
      <c r="E26" s="4" t="s">
        <v>69</v>
      </c>
      <c r="F26">
        <v>18</v>
      </c>
      <c r="H26" s="4" t="s">
        <v>69</v>
      </c>
      <c r="I26" s="3">
        <v>34.444444444444443</v>
      </c>
      <c r="K26" s="4" t="s">
        <v>68</v>
      </c>
      <c r="L26" s="3">
        <v>4.5</v>
      </c>
    </row>
    <row r="27" spans="1:12" x14ac:dyDescent="0.3">
      <c r="E27" s="4" t="s">
        <v>70</v>
      </c>
      <c r="F27">
        <v>12</v>
      </c>
      <c r="H27" s="4" t="s">
        <v>70</v>
      </c>
      <c r="I27" s="3">
        <v>43.416666666666664</v>
      </c>
      <c r="K27" s="4" t="s">
        <v>69</v>
      </c>
      <c r="L27" s="3">
        <v>6.666666666666667</v>
      </c>
    </row>
    <row r="28" spans="1:12" x14ac:dyDescent="0.3">
      <c r="A28" t="s">
        <v>26</v>
      </c>
      <c r="E28" s="4" t="s">
        <v>71</v>
      </c>
      <c r="F28">
        <v>14</v>
      </c>
      <c r="H28" s="4" t="s">
        <v>71</v>
      </c>
      <c r="I28" s="3">
        <v>36.357142857142854</v>
      </c>
      <c r="K28" s="4" t="s">
        <v>70</v>
      </c>
      <c r="L28" s="3">
        <v>7.5</v>
      </c>
    </row>
    <row r="29" spans="1:12" x14ac:dyDescent="0.3">
      <c r="A29" s="2" t="s">
        <v>4</v>
      </c>
      <c r="B29" t="s">
        <v>25</v>
      </c>
      <c r="E29" s="4" t="s">
        <v>72</v>
      </c>
      <c r="F29">
        <v>18</v>
      </c>
      <c r="H29" s="4" t="s">
        <v>72</v>
      </c>
      <c r="I29" s="3">
        <v>40.611111111111114</v>
      </c>
      <c r="K29" s="4" t="s">
        <v>71</v>
      </c>
      <c r="L29" s="3">
        <v>5.2857142857142856</v>
      </c>
    </row>
    <row r="30" spans="1:12" x14ac:dyDescent="0.3">
      <c r="A30" s="4" t="s">
        <v>17</v>
      </c>
      <c r="B30" s="7">
        <v>70</v>
      </c>
      <c r="E30" s="4" t="s">
        <v>73</v>
      </c>
      <c r="F30">
        <v>16</v>
      </c>
      <c r="H30" s="4" t="s">
        <v>73</v>
      </c>
      <c r="I30" s="3">
        <v>29.875</v>
      </c>
      <c r="K30" s="4" t="s">
        <v>72</v>
      </c>
      <c r="L30" s="3">
        <v>2.875</v>
      </c>
    </row>
    <row r="31" spans="1:12" x14ac:dyDescent="0.3">
      <c r="A31" s="4" t="s">
        <v>18</v>
      </c>
      <c r="B31" s="7">
        <v>67</v>
      </c>
      <c r="E31" s="4" t="s">
        <v>74</v>
      </c>
      <c r="F31">
        <v>16</v>
      </c>
      <c r="H31" s="4" t="s">
        <v>74</v>
      </c>
      <c r="I31" s="3">
        <v>33.5</v>
      </c>
      <c r="K31" s="4" t="s">
        <v>73</v>
      </c>
      <c r="L31" s="3">
        <v>6.25</v>
      </c>
    </row>
    <row r="32" spans="1:12" x14ac:dyDescent="0.3">
      <c r="A32" s="4" t="s">
        <v>19</v>
      </c>
      <c r="B32" s="7">
        <v>64</v>
      </c>
      <c r="E32" s="4" t="s">
        <v>75</v>
      </c>
      <c r="F32">
        <v>16</v>
      </c>
      <c r="H32" s="4" t="s">
        <v>75</v>
      </c>
      <c r="I32" s="3">
        <v>32.5625</v>
      </c>
      <c r="K32" s="4" t="s">
        <v>74</v>
      </c>
      <c r="L32" s="3">
        <v>6.125</v>
      </c>
    </row>
    <row r="33" spans="1:12" x14ac:dyDescent="0.3">
      <c r="A33" s="4" t="s">
        <v>20</v>
      </c>
      <c r="B33" s="7">
        <v>60</v>
      </c>
      <c r="E33" s="4" t="s">
        <v>76</v>
      </c>
      <c r="F33">
        <v>14</v>
      </c>
      <c r="H33" s="4" t="s">
        <v>76</v>
      </c>
      <c r="I33" s="3">
        <v>38.571428571428569</v>
      </c>
      <c r="K33" s="4" t="s">
        <v>75</v>
      </c>
      <c r="L33" s="3">
        <v>5.75</v>
      </c>
    </row>
    <row r="34" spans="1:12" x14ac:dyDescent="0.3">
      <c r="A34" s="4" t="s">
        <v>21</v>
      </c>
      <c r="B34" s="7">
        <v>42</v>
      </c>
      <c r="E34" s="4" t="s">
        <v>77</v>
      </c>
      <c r="F34">
        <v>14</v>
      </c>
      <c r="H34" s="4" t="s">
        <v>77</v>
      </c>
      <c r="I34" s="3">
        <v>32.714285714285715</v>
      </c>
      <c r="K34" s="4" t="s">
        <v>76</v>
      </c>
      <c r="L34" s="3">
        <v>5.375</v>
      </c>
    </row>
    <row r="35" spans="1:12" x14ac:dyDescent="0.3">
      <c r="A35" s="4" t="s">
        <v>22</v>
      </c>
      <c r="B35" s="7">
        <v>53</v>
      </c>
      <c r="E35" s="4" t="s">
        <v>5</v>
      </c>
      <c r="F35">
        <v>479</v>
      </c>
      <c r="H35" s="4" t="s">
        <v>5</v>
      </c>
      <c r="I35" s="3">
        <v>34.90187891440501</v>
      </c>
      <c r="K35" s="4" t="s">
        <v>77</v>
      </c>
      <c r="L35" s="3">
        <v>5.6</v>
      </c>
    </row>
    <row r="36" spans="1:12" x14ac:dyDescent="0.3">
      <c r="A36" s="4" t="s">
        <v>23</v>
      </c>
      <c r="B36" s="7">
        <v>71</v>
      </c>
      <c r="K36" s="4" t="s">
        <v>5</v>
      </c>
      <c r="L36" s="3">
        <v>5.3034482758620687</v>
      </c>
    </row>
    <row r="37" spans="1:12" x14ac:dyDescent="0.3">
      <c r="A37" s="4" t="s">
        <v>24</v>
      </c>
      <c r="B37" s="7">
        <v>52</v>
      </c>
    </row>
    <row r="38" spans="1:12" x14ac:dyDescent="0.3">
      <c r="A38" s="4" t="s">
        <v>5</v>
      </c>
      <c r="B38" s="7">
        <v>479</v>
      </c>
    </row>
    <row r="42" spans="1:12" x14ac:dyDescent="0.3">
      <c r="A42" s="4" t="s">
        <v>30</v>
      </c>
    </row>
    <row r="43" spans="1:12" x14ac:dyDescent="0.3">
      <c r="A43" s="2" t="s">
        <v>4</v>
      </c>
      <c r="B43" t="s">
        <v>27</v>
      </c>
    </row>
    <row r="44" spans="1:12" x14ac:dyDescent="0.3">
      <c r="A44" s="4" t="s">
        <v>28</v>
      </c>
      <c r="B44" s="7">
        <v>273</v>
      </c>
    </row>
    <row r="45" spans="1:12" x14ac:dyDescent="0.3">
      <c r="A45" s="4" t="s">
        <v>29</v>
      </c>
      <c r="B45" s="7">
        <v>206</v>
      </c>
    </row>
    <row r="46" spans="1:12" x14ac:dyDescent="0.3">
      <c r="A46" s="4" t="s">
        <v>5</v>
      </c>
      <c r="B46" s="7">
        <v>479</v>
      </c>
    </row>
    <row r="49" spans="1:2" x14ac:dyDescent="0.3">
      <c r="A49" s="4" t="s">
        <v>34</v>
      </c>
    </row>
    <row r="50" spans="1:2" x14ac:dyDescent="0.3">
      <c r="A50" s="2" t="s">
        <v>4</v>
      </c>
      <c r="B50" t="s">
        <v>33</v>
      </c>
    </row>
    <row r="51" spans="1:2" x14ac:dyDescent="0.3">
      <c r="A51" s="4" t="s">
        <v>31</v>
      </c>
      <c r="B51" s="7">
        <v>235</v>
      </c>
    </row>
    <row r="52" spans="1:2" x14ac:dyDescent="0.3">
      <c r="A52" s="4" t="s">
        <v>32</v>
      </c>
      <c r="B52" s="7">
        <v>244</v>
      </c>
    </row>
    <row r="53" spans="1:2" x14ac:dyDescent="0.3">
      <c r="A53" s="4" t="s">
        <v>5</v>
      </c>
      <c r="B53" s="7">
        <v>479</v>
      </c>
    </row>
    <row r="56" spans="1:2" x14ac:dyDescent="0.3">
      <c r="A56" s="4" t="s">
        <v>46</v>
      </c>
    </row>
    <row r="57" spans="1:2" x14ac:dyDescent="0.3">
      <c r="A57" s="2" t="s">
        <v>4</v>
      </c>
      <c r="B57" t="s">
        <v>43</v>
      </c>
    </row>
    <row r="58" spans="1:2" x14ac:dyDescent="0.3">
      <c r="A58" s="4" t="s">
        <v>35</v>
      </c>
      <c r="B58" s="7">
        <v>18</v>
      </c>
    </row>
    <row r="59" spans="1:2" x14ac:dyDescent="0.3">
      <c r="A59" s="4" t="s">
        <v>36</v>
      </c>
      <c r="B59" s="7">
        <v>12</v>
      </c>
    </row>
    <row r="60" spans="1:2" x14ac:dyDescent="0.3">
      <c r="A60" s="4" t="s">
        <v>37</v>
      </c>
      <c r="B60" s="7">
        <v>115</v>
      </c>
    </row>
    <row r="61" spans="1:2" x14ac:dyDescent="0.3">
      <c r="A61" s="4" t="s">
        <v>38</v>
      </c>
      <c r="B61" s="7">
        <v>11</v>
      </c>
    </row>
    <row r="62" spans="1:2" x14ac:dyDescent="0.3">
      <c r="A62" s="4" t="s">
        <v>39</v>
      </c>
      <c r="B62" s="7">
        <v>263</v>
      </c>
    </row>
    <row r="63" spans="1:2" x14ac:dyDescent="0.3">
      <c r="A63" s="4" t="s">
        <v>40</v>
      </c>
      <c r="B63" s="7">
        <v>45</v>
      </c>
    </row>
    <row r="64" spans="1:2" x14ac:dyDescent="0.3">
      <c r="A64" s="4" t="s">
        <v>41</v>
      </c>
      <c r="B64" s="7">
        <v>11</v>
      </c>
    </row>
    <row r="65" spans="1:2" x14ac:dyDescent="0.3">
      <c r="A65" s="4" t="s">
        <v>42</v>
      </c>
      <c r="B65" s="7">
        <v>4</v>
      </c>
    </row>
    <row r="66" spans="1:2" x14ac:dyDescent="0.3">
      <c r="A66" s="4" t="s">
        <v>5</v>
      </c>
      <c r="B66" s="7">
        <v>479</v>
      </c>
    </row>
    <row r="69" spans="1:2" x14ac:dyDescent="0.3">
      <c r="A69" s="4" t="s">
        <v>47</v>
      </c>
    </row>
    <row r="70" spans="1:2" x14ac:dyDescent="0.3">
      <c r="A70" s="2" t="s">
        <v>4</v>
      </c>
    </row>
    <row r="71" spans="1:2" x14ac:dyDescent="0.3">
      <c r="A71" s="4" t="s">
        <v>6</v>
      </c>
    </row>
    <row r="72" spans="1:2" x14ac:dyDescent="0.3">
      <c r="A72"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BCC2-1A1A-4A54-9D1B-303B05D2B0CA}">
  <dimension ref="A1:N21"/>
  <sheetViews>
    <sheetView tabSelected="1" zoomScale="112" zoomScaleNormal="116" workbookViewId="0"/>
  </sheetViews>
  <sheetFormatPr defaultRowHeight="14.4" x14ac:dyDescent="0.3"/>
  <sheetData>
    <row r="1" spans="1:14" x14ac:dyDescent="0.3">
      <c r="A1" s="13"/>
      <c r="B1" s="13"/>
      <c r="C1" s="13"/>
      <c r="D1" s="13"/>
      <c r="E1" s="13"/>
      <c r="F1" s="13"/>
      <c r="G1" s="13"/>
      <c r="H1" s="13"/>
      <c r="I1" s="13"/>
      <c r="J1" s="13"/>
      <c r="K1" s="13"/>
      <c r="L1" s="13"/>
      <c r="M1" s="13"/>
      <c r="N1" s="13"/>
    </row>
    <row r="2" spans="1:14" x14ac:dyDescent="0.3">
      <c r="A2" s="13"/>
      <c r="B2" s="13"/>
      <c r="C2" s="13"/>
      <c r="D2" s="13"/>
      <c r="E2" s="13"/>
      <c r="F2" s="13"/>
      <c r="G2" s="13"/>
      <c r="H2" s="13"/>
      <c r="I2" s="13"/>
      <c r="J2" s="13"/>
      <c r="K2" s="13"/>
      <c r="L2" s="13"/>
      <c r="M2" s="13"/>
      <c r="N2" s="13"/>
    </row>
    <row r="3" spans="1:14" x14ac:dyDescent="0.3">
      <c r="A3" s="13"/>
      <c r="B3" s="13"/>
      <c r="C3" s="13"/>
      <c r="D3" s="13"/>
      <c r="E3" s="13"/>
      <c r="F3" s="13"/>
      <c r="G3" s="13"/>
      <c r="H3" s="13"/>
      <c r="I3" s="13"/>
      <c r="J3" s="13"/>
      <c r="K3" s="13"/>
      <c r="L3" s="13"/>
      <c r="M3" s="13"/>
      <c r="N3" s="13"/>
    </row>
    <row r="4" spans="1:14" x14ac:dyDescent="0.3">
      <c r="A4" s="13"/>
      <c r="B4" s="13"/>
      <c r="C4" s="13"/>
      <c r="D4" s="13"/>
      <c r="E4" s="13"/>
      <c r="F4" s="13"/>
      <c r="G4" s="13"/>
      <c r="H4" s="13"/>
      <c r="I4" s="13"/>
      <c r="J4" s="13"/>
      <c r="K4" s="13"/>
      <c r="L4" s="13"/>
      <c r="M4" s="13"/>
      <c r="N4" s="13"/>
    </row>
    <row r="5" spans="1:14" x14ac:dyDescent="0.3">
      <c r="A5" s="13"/>
      <c r="B5" s="13"/>
      <c r="C5" s="13"/>
      <c r="D5" s="13"/>
      <c r="E5" s="13"/>
      <c r="F5" s="13"/>
      <c r="G5" s="13"/>
      <c r="H5" s="13"/>
      <c r="I5" s="13"/>
      <c r="J5" s="13"/>
      <c r="K5" s="13"/>
      <c r="L5" s="13"/>
      <c r="M5" s="13"/>
      <c r="N5" s="13"/>
    </row>
    <row r="6" spans="1:14" x14ac:dyDescent="0.3">
      <c r="A6" s="13"/>
      <c r="B6" s="13"/>
      <c r="C6" s="13"/>
      <c r="D6" s="13"/>
      <c r="E6" s="13"/>
      <c r="F6" s="13"/>
      <c r="G6" s="13"/>
      <c r="H6" s="13"/>
      <c r="I6" s="13"/>
      <c r="J6" s="13"/>
      <c r="K6" s="13"/>
      <c r="L6" s="13"/>
      <c r="M6" s="13"/>
      <c r="N6" s="13"/>
    </row>
    <row r="7" spans="1:14" x14ac:dyDescent="0.3">
      <c r="A7" s="13"/>
      <c r="B7" s="13"/>
      <c r="C7" s="13"/>
      <c r="D7" s="13"/>
      <c r="E7" s="13"/>
      <c r="F7" s="13"/>
      <c r="G7" s="13"/>
      <c r="H7" s="13"/>
      <c r="I7" s="13"/>
      <c r="J7" s="13"/>
      <c r="K7" s="13"/>
      <c r="L7" s="13"/>
      <c r="M7" s="13"/>
      <c r="N7" s="13"/>
    </row>
    <row r="8" spans="1:14" x14ac:dyDescent="0.3">
      <c r="A8" s="13"/>
      <c r="B8" s="13"/>
      <c r="C8" s="13"/>
      <c r="D8" s="13"/>
      <c r="E8" s="13"/>
      <c r="F8" s="13"/>
      <c r="G8" s="13"/>
      <c r="H8" s="13"/>
      <c r="I8" s="13"/>
      <c r="J8" s="13"/>
      <c r="K8" s="13"/>
      <c r="L8" s="13"/>
      <c r="M8" s="13"/>
      <c r="N8" s="13"/>
    </row>
    <row r="9" spans="1:14" x14ac:dyDescent="0.3">
      <c r="A9" s="13"/>
      <c r="B9" s="13"/>
      <c r="C9" s="13"/>
      <c r="D9" s="13"/>
      <c r="E9" s="13"/>
      <c r="F9" s="13"/>
      <c r="G9" s="13"/>
      <c r="H9" s="13"/>
      <c r="I9" s="13"/>
      <c r="J9" s="13"/>
      <c r="K9" s="13"/>
      <c r="L9" s="13"/>
      <c r="M9" s="13"/>
      <c r="N9" s="13"/>
    </row>
    <row r="10" spans="1:14" x14ac:dyDescent="0.3">
      <c r="A10" s="13"/>
      <c r="B10" s="13"/>
      <c r="C10" s="13"/>
      <c r="D10" s="13"/>
      <c r="E10" s="13"/>
      <c r="F10" s="13"/>
      <c r="G10" s="13"/>
      <c r="H10" s="13"/>
      <c r="I10" s="13"/>
      <c r="J10" s="13"/>
      <c r="K10" s="13"/>
      <c r="L10" s="13"/>
      <c r="M10" s="13"/>
      <c r="N10" s="13"/>
    </row>
    <row r="11" spans="1:14" x14ac:dyDescent="0.3">
      <c r="A11" s="13"/>
      <c r="B11" s="13"/>
      <c r="C11" s="13"/>
      <c r="D11" s="13"/>
      <c r="E11" s="13"/>
      <c r="F11" s="13"/>
      <c r="G11" s="13"/>
      <c r="H11" s="13"/>
      <c r="I11" s="13"/>
      <c r="J11" s="13"/>
      <c r="K11" s="13"/>
      <c r="L11" s="13"/>
      <c r="M11" s="13"/>
      <c r="N11" s="13"/>
    </row>
    <row r="12" spans="1:14" x14ac:dyDescent="0.3">
      <c r="A12" s="13"/>
      <c r="B12" s="13"/>
      <c r="C12" s="13"/>
      <c r="D12" s="13"/>
      <c r="E12" s="13"/>
      <c r="F12" s="13"/>
      <c r="G12" s="13"/>
      <c r="H12" s="13"/>
      <c r="I12" s="13"/>
      <c r="J12" s="13"/>
      <c r="K12" s="13"/>
      <c r="L12" s="13"/>
      <c r="M12" s="13"/>
      <c r="N12" s="13"/>
    </row>
    <row r="13" spans="1:14" x14ac:dyDescent="0.3">
      <c r="A13" s="13"/>
      <c r="B13" s="13"/>
      <c r="C13" s="13"/>
      <c r="D13" s="13"/>
      <c r="E13" s="13"/>
      <c r="F13" s="13"/>
      <c r="G13" s="13"/>
      <c r="H13" s="13"/>
      <c r="I13" s="13"/>
      <c r="J13" s="13"/>
      <c r="K13" s="13"/>
      <c r="L13" s="13"/>
      <c r="M13" s="13"/>
      <c r="N13" s="13"/>
    </row>
    <row r="14" spans="1:14" x14ac:dyDescent="0.3">
      <c r="A14" s="13"/>
      <c r="B14" s="13"/>
      <c r="C14" s="13"/>
      <c r="D14" s="13"/>
      <c r="E14" s="13"/>
      <c r="F14" s="13"/>
      <c r="G14" s="13"/>
      <c r="H14" s="13"/>
      <c r="I14" s="13"/>
      <c r="J14" s="13"/>
      <c r="K14" s="13"/>
      <c r="L14" s="13"/>
      <c r="M14" s="13"/>
      <c r="N14" s="13"/>
    </row>
    <row r="15" spans="1:14" x14ac:dyDescent="0.3">
      <c r="A15" s="13"/>
      <c r="B15" s="13"/>
      <c r="C15" s="13"/>
      <c r="D15" s="13"/>
      <c r="E15" s="13"/>
      <c r="F15" s="13"/>
      <c r="G15" s="13"/>
      <c r="H15" s="13"/>
      <c r="I15" s="13" t="e" vm="1">
        <v>#VALUE!</v>
      </c>
      <c r="J15" s="13"/>
      <c r="K15" s="13"/>
      <c r="L15" s="13"/>
      <c r="M15" s="13"/>
      <c r="N15" s="13"/>
    </row>
    <row r="16" spans="1:14" x14ac:dyDescent="0.3">
      <c r="A16" s="13"/>
      <c r="B16" s="13"/>
      <c r="C16" s="13"/>
      <c r="D16" s="13"/>
      <c r="E16" s="13"/>
      <c r="F16" s="13"/>
      <c r="G16" s="13"/>
      <c r="H16" s="13"/>
      <c r="I16" s="13"/>
      <c r="J16" s="13"/>
      <c r="K16" s="13"/>
      <c r="L16" s="13"/>
      <c r="M16" s="13"/>
      <c r="N16" s="13"/>
    </row>
    <row r="17" spans="1:14" x14ac:dyDescent="0.3">
      <c r="A17" s="13"/>
      <c r="B17" s="13"/>
      <c r="C17" s="13"/>
      <c r="D17" s="13"/>
      <c r="E17" s="13"/>
      <c r="F17" s="13"/>
      <c r="G17" s="13"/>
      <c r="H17" s="13"/>
      <c r="I17" s="13"/>
      <c r="J17" s="13"/>
      <c r="K17" s="13"/>
      <c r="L17" s="13"/>
      <c r="M17" s="13"/>
      <c r="N17" s="13"/>
    </row>
    <row r="18" spans="1:14" x14ac:dyDescent="0.3">
      <c r="A18" s="13"/>
      <c r="B18" s="13"/>
      <c r="C18" s="13"/>
      <c r="D18" s="13"/>
      <c r="E18" s="13"/>
      <c r="F18" s="13"/>
      <c r="G18" s="13"/>
      <c r="H18" s="13"/>
      <c r="I18" s="13"/>
      <c r="J18" s="13"/>
      <c r="K18" s="13"/>
      <c r="L18" s="13"/>
      <c r="M18" s="13"/>
      <c r="N18" s="13"/>
    </row>
    <row r="19" spans="1:14" x14ac:dyDescent="0.3">
      <c r="A19" s="13"/>
      <c r="B19" s="13"/>
      <c r="C19" s="13"/>
      <c r="D19" s="13"/>
      <c r="E19" s="13"/>
      <c r="F19" s="13"/>
      <c r="G19" s="13"/>
      <c r="H19" s="13"/>
      <c r="I19" s="13"/>
      <c r="J19" s="13"/>
      <c r="K19" s="13"/>
      <c r="L19" s="13"/>
      <c r="M19" s="13"/>
      <c r="N19" s="13"/>
    </row>
    <row r="20" spans="1:14" x14ac:dyDescent="0.3">
      <c r="A20" s="13"/>
      <c r="B20" s="13"/>
      <c r="C20" s="13"/>
      <c r="D20" s="13"/>
      <c r="E20" s="13"/>
      <c r="F20" s="13"/>
      <c r="G20" s="13"/>
      <c r="H20" s="13"/>
      <c r="I20" s="13"/>
      <c r="J20" s="13"/>
      <c r="K20" s="13"/>
      <c r="L20" s="13"/>
      <c r="M20" s="13"/>
      <c r="N20" s="13"/>
    </row>
    <row r="21" spans="1:14" x14ac:dyDescent="0.3">
      <c r="A21" s="13"/>
      <c r="B21" s="13"/>
      <c r="C21" s="13"/>
      <c r="D21" s="13"/>
      <c r="E21" s="13"/>
      <c r="F21" s="13"/>
      <c r="G21" s="13"/>
      <c r="H21" s="13"/>
      <c r="I21" s="13"/>
      <c r="J21" s="13"/>
      <c r="K21" s="13"/>
      <c r="L21" s="13"/>
      <c r="M21" s="13"/>
      <c r="N21" s="1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292C-36FA-4516-8CD6-D511D6405F59}">
  <dimension ref="A1"/>
  <sheetViews>
    <sheetView zoomScale="96"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D0FE-5A93-42EC-AAF5-7E73AFF1F65E}">
  <dimension ref="A25:N29"/>
  <sheetViews>
    <sheetView workbookViewId="0"/>
  </sheetViews>
  <sheetFormatPr defaultRowHeight="14.4" x14ac:dyDescent="0.3"/>
  <sheetData>
    <row r="25" spans="1:14" x14ac:dyDescent="0.3">
      <c r="A25" s="5"/>
      <c r="B25" s="5"/>
      <c r="C25" s="5"/>
      <c r="D25" s="5"/>
      <c r="E25" s="5"/>
      <c r="F25" s="5"/>
      <c r="G25" s="5"/>
      <c r="H25" s="5"/>
      <c r="I25" s="5"/>
      <c r="J25" s="5"/>
      <c r="K25" s="5"/>
      <c r="L25" s="5"/>
      <c r="M25" s="5"/>
      <c r="N25" s="5"/>
    </row>
    <row r="26" spans="1:14" x14ac:dyDescent="0.3">
      <c r="A26" s="5"/>
      <c r="B26" s="5"/>
      <c r="C26" s="5"/>
      <c r="D26" s="5"/>
      <c r="E26" s="5"/>
      <c r="F26" s="5"/>
      <c r="G26" s="5"/>
      <c r="H26" s="5"/>
      <c r="I26" s="5"/>
      <c r="J26" s="5"/>
      <c r="K26" s="5"/>
      <c r="L26" s="5"/>
      <c r="M26" s="5"/>
      <c r="N26" s="5"/>
    </row>
    <row r="27" spans="1:14" x14ac:dyDescent="0.3">
      <c r="A27" s="5"/>
      <c r="B27" s="5"/>
      <c r="C27" s="5"/>
      <c r="D27" s="5"/>
      <c r="E27" s="5"/>
      <c r="F27" s="5"/>
      <c r="G27" s="5"/>
      <c r="H27" s="5"/>
      <c r="I27" s="5"/>
      <c r="J27" s="5"/>
      <c r="K27" s="5"/>
      <c r="L27" s="5"/>
      <c r="M27" s="5"/>
      <c r="N27" s="5"/>
    </row>
    <row r="28" spans="1:14" x14ac:dyDescent="0.3">
      <c r="A28" s="5"/>
      <c r="B28" s="5"/>
      <c r="C28" s="5"/>
      <c r="D28" s="5"/>
      <c r="E28" s="5"/>
      <c r="F28" s="5"/>
      <c r="G28" s="5"/>
      <c r="H28" s="5"/>
      <c r="I28" s="5"/>
      <c r="J28" s="5"/>
      <c r="K28" s="5"/>
      <c r="L28" s="5"/>
      <c r="M28" s="5"/>
      <c r="N28" s="5"/>
    </row>
    <row r="29" spans="1:14" x14ac:dyDescent="0.3">
      <c r="A29" s="5"/>
      <c r="B29" s="5"/>
      <c r="C29" s="5"/>
      <c r="D29" s="5"/>
      <c r="E29" s="5"/>
      <c r="F29" s="5"/>
      <c r="G29" s="5"/>
      <c r="H29" s="5"/>
      <c r="I29" s="5"/>
      <c r="J29" s="5"/>
      <c r="K29" s="5"/>
      <c r="L29" s="5"/>
      <c r="M29" s="5"/>
      <c r="N29"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590A-7498-41BE-A226-261A4816B4C9}">
  <dimension ref="A1:Q31"/>
  <sheetViews>
    <sheetView workbookViewId="0"/>
  </sheetViews>
  <sheetFormatPr defaultRowHeight="14.4" x14ac:dyDescent="0.3"/>
  <sheetData>
    <row r="1" spans="1:17" x14ac:dyDescent="0.3">
      <c r="A1" s="6"/>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6"/>
      <c r="B21" s="6"/>
      <c r="C21" s="6"/>
      <c r="D21" s="6"/>
      <c r="E21" s="6"/>
      <c r="F21" s="6"/>
      <c r="G21" s="6"/>
      <c r="H21" s="6"/>
      <c r="I21" s="6"/>
      <c r="J21" s="6"/>
      <c r="K21" s="6"/>
      <c r="L21" s="6"/>
      <c r="M21" s="6"/>
      <c r="N21" s="6"/>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row r="25" spans="1:17" x14ac:dyDescent="0.3">
      <c r="A25" s="6"/>
      <c r="B25" s="6"/>
      <c r="C25" s="6"/>
      <c r="D25" s="6"/>
      <c r="E25" s="6"/>
      <c r="F25" s="6"/>
      <c r="G25" s="6"/>
      <c r="H25" s="6"/>
      <c r="I25" s="6"/>
      <c r="J25" s="6"/>
      <c r="K25" s="6"/>
      <c r="L25" s="6"/>
      <c r="M25" s="6"/>
      <c r="N25" s="6"/>
      <c r="O25" s="6"/>
      <c r="P25" s="6"/>
      <c r="Q25" s="6"/>
    </row>
    <row r="26" spans="1:17" x14ac:dyDescent="0.3">
      <c r="A26" s="6"/>
      <c r="B26" s="6"/>
      <c r="C26" s="6"/>
      <c r="D26" s="6"/>
      <c r="E26" s="6"/>
      <c r="F26" s="6"/>
      <c r="G26" s="6"/>
      <c r="H26" s="6"/>
      <c r="I26" s="6"/>
      <c r="J26" s="6"/>
      <c r="K26" s="6"/>
      <c r="L26" s="6"/>
      <c r="M26" s="6"/>
      <c r="N26" s="6"/>
      <c r="O26" s="6"/>
      <c r="P26" s="6"/>
      <c r="Q26" s="6"/>
    </row>
    <row r="27" spans="1:17" x14ac:dyDescent="0.3">
      <c r="A27" s="6"/>
      <c r="B27" s="6"/>
      <c r="C27" s="6"/>
      <c r="D27" s="6"/>
      <c r="E27" s="6"/>
      <c r="F27" s="6"/>
      <c r="G27" s="6"/>
      <c r="H27" s="6"/>
      <c r="I27" s="6"/>
      <c r="J27" s="6"/>
      <c r="K27" s="6"/>
      <c r="L27" s="6"/>
      <c r="M27" s="6"/>
      <c r="N27" s="6"/>
      <c r="O27" s="6"/>
      <c r="P27" s="6"/>
      <c r="Q27" s="6"/>
    </row>
    <row r="28" spans="1:17" x14ac:dyDescent="0.3">
      <c r="A28" s="6"/>
      <c r="B28" s="6"/>
      <c r="C28" s="6"/>
      <c r="D28" s="6"/>
      <c r="E28" s="6"/>
      <c r="F28" s="6"/>
      <c r="G28" s="6"/>
      <c r="H28" s="6"/>
      <c r="I28" s="6"/>
      <c r="J28" s="6"/>
      <c r="K28" s="6"/>
      <c r="L28" s="6"/>
      <c r="M28" s="6"/>
      <c r="N28" s="6"/>
      <c r="O28" s="6"/>
      <c r="P28" s="6"/>
      <c r="Q28" s="6"/>
    </row>
    <row r="29" spans="1:17" x14ac:dyDescent="0.3">
      <c r="A29" s="6"/>
      <c r="B29" s="6"/>
      <c r="C29" s="6"/>
      <c r="D29" s="6"/>
      <c r="E29" s="6"/>
      <c r="F29" s="6"/>
      <c r="G29" s="6"/>
      <c r="H29" s="6"/>
      <c r="I29" s="6"/>
      <c r="J29" s="6"/>
      <c r="K29" s="6"/>
      <c r="L29" s="6"/>
      <c r="M29" s="6"/>
      <c r="N29" s="6"/>
      <c r="O29" s="6"/>
      <c r="P29" s="6"/>
      <c r="Q29" s="6"/>
    </row>
    <row r="30" spans="1:17" x14ac:dyDescent="0.3">
      <c r="A30" s="6"/>
      <c r="B30" s="6"/>
      <c r="C30" s="6"/>
      <c r="D30" s="6"/>
      <c r="E30" s="6"/>
      <c r="F30" s="6"/>
      <c r="G30" s="6"/>
      <c r="H30" s="6"/>
      <c r="I30" s="6"/>
      <c r="J30" s="6"/>
      <c r="K30" s="6"/>
      <c r="L30" s="6"/>
      <c r="M30" s="6"/>
      <c r="N30" s="6"/>
      <c r="O30" s="6"/>
      <c r="P30" s="6"/>
      <c r="Q30" s="6"/>
    </row>
    <row r="31" spans="1:17" x14ac:dyDescent="0.3">
      <c r="A31" s="6"/>
      <c r="B31" s="6"/>
      <c r="C31" s="6"/>
      <c r="D31" s="6"/>
      <c r="E31" s="6"/>
      <c r="F31" s="6"/>
      <c r="G31" s="6"/>
      <c r="H31" s="6"/>
      <c r="I31" s="6"/>
      <c r="J31" s="6"/>
      <c r="K31" s="6"/>
      <c r="L31" s="6"/>
      <c r="M31" s="6"/>
      <c r="N31" s="6"/>
      <c r="O31" s="6"/>
      <c r="P31" s="6"/>
      <c r="Q31"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4D11FFF-FEEE-42B0-9EF6-2D71A5685F86}">
  <ds:schemaRefs>
    <ds:schemaRef ds:uri="http://schemas.microsoft.com/DataMashup"/>
  </ds:schemaRefs>
</ds:datastoreItem>
</file>

<file path=customXml/itemProps2.xml><?xml version="1.0" encoding="utf-8"?>
<ds:datastoreItem xmlns:ds="http://schemas.openxmlformats.org/officeDocument/2006/customXml" ds:itemID="{529D8656-5ED6-4E9B-A808-22BCD8D5ACEA}">
  <ds:schemaRefs/>
</ds:datastoreItem>
</file>

<file path=customXml/itemProps3.xml><?xml version="1.0" encoding="utf-8"?>
<ds:datastoreItem xmlns:ds="http://schemas.openxmlformats.org/officeDocument/2006/customXml" ds:itemID="{998FC1F3-4034-4DA6-8FD7-0DAB39BDA4CB}">
  <ds:schemaRefs/>
</ds:datastoreItem>
</file>

<file path=customXml/itemProps4.xml><?xml version="1.0" encoding="utf-8"?>
<ds:datastoreItem xmlns:ds="http://schemas.openxmlformats.org/officeDocument/2006/customXml" ds:itemID="{DE29CB1B-73F4-42AD-B73A-7AC40FC601AE}">
  <ds:schemaRefs/>
</ds:datastoreItem>
</file>

<file path=customXml/itemProps5.xml><?xml version="1.0" encoding="utf-8"?>
<ds:datastoreItem xmlns:ds="http://schemas.openxmlformats.org/officeDocument/2006/customXml" ds:itemID="{B8FBBC4E-5408-463F-B077-D07FD89EE4FB}">
  <ds:schemaRefs/>
</ds:datastoreItem>
</file>

<file path=customXml/itemProps6.xml><?xml version="1.0" encoding="utf-8"?>
<ds:datastoreItem xmlns:ds="http://schemas.openxmlformats.org/officeDocument/2006/customXml" ds:itemID="{C86E0338-0F0A-4E92-AAA2-2955EAAEBA69}">
  <ds:schemaRefs/>
</ds:datastoreItem>
</file>

<file path=customXml/itemProps7.xml><?xml version="1.0" encoding="utf-8"?>
<ds:datastoreItem xmlns:ds="http://schemas.openxmlformats.org/officeDocument/2006/customXml" ds:itemID="{04A70576-0BD8-46D8-B2D8-67D9293CF3C2}">
  <ds:schemaRefs/>
</ds:datastoreItem>
</file>

<file path=customXml/itemProps8.xml><?xml version="1.0" encoding="utf-8"?>
<ds:datastoreItem xmlns:ds="http://schemas.openxmlformats.org/officeDocument/2006/customXml" ds:itemID="{C805E7C5-B125-498B-9469-0298CE37617E}">
  <ds:schemaRefs/>
</ds:datastoreItem>
</file>

<file path=customXml/itemProps9.xml><?xml version="1.0" encoding="utf-8"?>
<ds:datastoreItem xmlns:ds="http://schemas.openxmlformats.org/officeDocument/2006/customXml" ds:itemID="{937D5EE3-561C-4AAC-B01C-738BB433C765}">
  <ds:schemaRefs/>
</ds:datastoreItem>
</file>

<file path=customXml/itemProps10.xml><?xml version="1.0" encoding="utf-8"?>
<ds:datastoreItem xmlns:ds="http://schemas.openxmlformats.org/officeDocument/2006/customXml" ds:itemID="{C23F104D-3EB9-4D74-A970-B85FB50D1DA9}">
  <ds:schemaRefs/>
</ds:datastoreItem>
</file>

<file path=customXml/itemProps11.xml><?xml version="1.0" encoding="utf-8"?>
<ds:datastoreItem xmlns:ds="http://schemas.openxmlformats.org/officeDocument/2006/customXml" ds:itemID="{F87258F8-7739-495E-A35C-4C884FD74975}">
  <ds:schemaRefs/>
</ds:datastoreItem>
</file>

<file path=customXml/itemProps12.xml><?xml version="1.0" encoding="utf-8"?>
<ds:datastoreItem xmlns:ds="http://schemas.openxmlformats.org/officeDocument/2006/customXml" ds:itemID="{9D97D22E-878C-4B23-AFA2-A9C537EBCCD7}">
  <ds:schemaRefs/>
</ds:datastoreItem>
</file>

<file path=customXml/itemProps13.xml><?xml version="1.0" encoding="utf-8"?>
<ds:datastoreItem xmlns:ds="http://schemas.openxmlformats.org/officeDocument/2006/customXml" ds:itemID="{C3C551DE-20C1-4B4B-9173-D4A660C11425}">
  <ds:schemaRefs/>
</ds:datastoreItem>
</file>

<file path=customXml/itemProps14.xml><?xml version="1.0" encoding="utf-8"?>
<ds:datastoreItem xmlns:ds="http://schemas.openxmlformats.org/officeDocument/2006/customXml" ds:itemID="{F6C27B31-9452-43D9-8864-DCD4BCAC9268}">
  <ds:schemaRefs/>
</ds:datastoreItem>
</file>

<file path=customXml/itemProps15.xml><?xml version="1.0" encoding="utf-8"?>
<ds:datastoreItem xmlns:ds="http://schemas.openxmlformats.org/officeDocument/2006/customXml" ds:itemID="{09030818-4E6D-44DB-9711-A7285940F4CA}">
  <ds:schemaRefs/>
</ds:datastoreItem>
</file>

<file path=customXml/itemProps16.xml><?xml version="1.0" encoding="utf-8"?>
<ds:datastoreItem xmlns:ds="http://schemas.openxmlformats.org/officeDocument/2006/customXml" ds:itemID="{E4F0ACDE-C867-4C43-A4D2-5C261EEE68DB}">
  <ds:schemaRefs/>
</ds:datastoreItem>
</file>

<file path=customXml/itemProps17.xml><?xml version="1.0" encoding="utf-8"?>
<ds:datastoreItem xmlns:ds="http://schemas.openxmlformats.org/officeDocument/2006/customXml" ds:itemID="{F7493D6C-77A5-460D-8B97-F4B06E94CB2D}">
  <ds:schemaRefs/>
</ds:datastoreItem>
</file>

<file path=customXml/itemProps18.xml><?xml version="1.0" encoding="utf-8"?>
<ds:datastoreItem xmlns:ds="http://schemas.openxmlformats.org/officeDocument/2006/customXml" ds:itemID="{6937568A-CC91-406E-A9EB-EECC873353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 Kumari</dc:creator>
  <cp:lastModifiedBy>Megha Kumari</cp:lastModifiedBy>
  <dcterms:created xsi:type="dcterms:W3CDTF">2026-08-24T16:57:15Z</dcterms:created>
  <dcterms:modified xsi:type="dcterms:W3CDTF">2026-09-04T20:39:17Z</dcterms:modified>
</cp:coreProperties>
</file>